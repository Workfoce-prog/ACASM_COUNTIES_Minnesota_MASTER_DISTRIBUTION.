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County_List" sheetId="4" state="visible" r:id="rId4"/>
    <sheet xmlns:r="http://schemas.openxmlformats.org/officeDocument/2006/relationships" name="Inputs_State" sheetId="5" state="visible" r:id="rId5"/>
    <sheet xmlns:r="http://schemas.openxmlformats.org/officeDocument/2006/relationships" name="County_Baseline" sheetId="6" state="visible" r:id="rId6"/>
    <sheet xmlns:r="http://schemas.openxmlformats.org/officeDocument/2006/relationships" name="County_Arrivals" sheetId="7" state="visible" r:id="rId7"/>
    <sheet xmlns:r="http://schemas.openxmlformats.org/officeDocument/2006/relationships" name="County_Complexity" sheetId="8" state="visible" r:id="rId8"/>
    <sheet xmlns:r="http://schemas.openxmlformats.org/officeDocument/2006/relationships" name="County_Calculator" sheetId="9" state="visible" r:id="rId9"/>
    <sheet xmlns:r="http://schemas.openxmlformats.org/officeDocument/2006/relationships" name="State_Rollup" sheetId="10" state="visible" r:id="rId10"/>
    <sheet xmlns:r="http://schemas.openxmlformats.org/officeDocument/2006/relationships" name="County_Dashboard" sheetId="11" state="visible" r:id="rId11"/>
    <sheet xmlns:r="http://schemas.openxmlformats.org/officeDocument/2006/relationships" name="State_Dashboard" sheetId="12" state="visible" r:id="rId12"/>
    <sheet xmlns:r="http://schemas.openxmlformats.org/officeDocument/2006/relationships" name="Tableau_Export" sheetId="13" state="visible" r:id="rId13"/>
    <sheet xmlns:r="http://schemas.openxmlformats.org/officeDocument/2006/relationships" name="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Arrival Points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'County_Dashboard'!E5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'County_Dashboard'!$D$6:$D$15</f>
            </numRef>
          </cat>
          <val>
            <numRef>
              <f>'County_Dashboard'!$E$6:$E$15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ounties" displayName="tblCounties" ref="A1:C87" headerRowCount="1">
  <autoFilter ref="A1:C87"/>
  <tableColumns count="3">
    <tableColumn id="1" name="County"/>
    <tableColumn id="2" name="Region (optional)"/>
    <tableColumn id="3" name="Notes (optional)"/>
  </tableColumns>
  <tableStyleInfo name="TableStyleMedium9" showRowStripes="1"/>
</table>
</file>

<file path=xl/tables/table2.xml><?xml version="1.0" encoding="utf-8"?>
<table xmlns="http://schemas.openxmlformats.org/spreadsheetml/2006/main" id="2" name="tblBaseline" displayName="tblBaseline" ref="A1:H87" headerRowCount="1">
  <autoFilter ref="A1:H87"/>
  <tableColumns count="8">
    <tableColumn id="1" name="County"/>
    <tableColumn id="2" name="Period"/>
    <tableColumn id="3" name="FTE_on"/>
    <tableColumn id="4" name="Buffer_FTE"/>
    <tableColumn id="5" name="Backlog_Start"/>
    <tableColumn id="6" name="Completed_Points_Baseline"/>
    <tableColumn id="7" name="Avg_FTE_Baseline"/>
    <tableColumn id="8" name="Wbar_Baseline"/>
  </tableColumns>
  <tableStyleInfo name="TableStyleMedium2" showRowStripes="1"/>
</table>
</file>

<file path=xl/tables/table3.xml><?xml version="1.0" encoding="utf-8"?>
<table xmlns="http://schemas.openxmlformats.org/spreadsheetml/2006/main" id="3" name="tblArrivals" displayName="tblArrivals" ref="A1:F861" headerRowCount="1">
  <autoFilter ref="A1:F861"/>
  <tableColumns count="6">
    <tableColumn id="1" name="County"/>
    <tableColumn id="2" name="Period"/>
    <tableColumn id="3" name="Category"/>
    <tableColumn id="4" name="Count"/>
    <tableColumn id="5" name="Weight"/>
    <tableColumn id="6" name="Points"/>
  </tableColumns>
  <tableStyleInfo name="TableStyleMedium9" showRowStripes="1"/>
</table>
</file>

<file path=xl/tables/table4.xml><?xml version="1.0" encoding="utf-8"?>
<table xmlns="http://schemas.openxmlformats.org/spreadsheetml/2006/main" id="4" name="tblComplexity" displayName="tblComplexity" ref="A1:G603" headerRowCount="1">
  <autoFilter ref="A1:G603"/>
  <tableColumns count="7">
    <tableColumn id="1" name="County"/>
    <tableColumn id="2" name="Period"/>
    <tableColumn id="3" name="m_bucket"/>
    <tableColumn id="4" name="Cases_Current"/>
    <tableColumn id="5" name="Cases_Baseline"/>
    <tableColumn id="6" name="Weight_Current"/>
    <tableColumn id="7" name="Weight_Baseline"/>
  </tableColumns>
  <tableStyleInfo name="TableStyleMedium7" showRowStripes="1"/>
</table>
</file>

<file path=xl/tables/table5.xml><?xml version="1.0" encoding="utf-8"?>
<table xmlns="http://schemas.openxmlformats.org/spreadsheetml/2006/main" id="5" name="tblCountyCalc" displayName="tblCountyCalc" ref="A1:U87" headerRowCount="1">
  <autoFilter ref="A1:U87"/>
  <tableColumns count="21">
    <tableColumn id="1" name="County"/>
    <tableColumn id="2" name="Period"/>
    <tableColumn id="3" name="AP"/>
    <tableColumn id="4" name="Cases_Current"/>
    <tableColumn id="5" name="WC_Current"/>
    <tableColumn id="6" name="Wbar_Current"/>
    <tableColumn id="7" name="Cases_Baseline"/>
    <tableColumn id="8" name="WC_Baseline"/>
    <tableColumn id="9" name="Wbar_Baseline"/>
    <tableColumn id="10" name="CPF"/>
    <tableColumn id="11" name="P_ref"/>
    <tableColumn id="12" name="P_eff"/>
    <tableColumn id="13" name="FTE_on"/>
    <tableColumn id="14" name="Capacity_eff"/>
    <tableColumn id="15" name="Utilization"/>
    <tableColumn id="16" name="Backlog_Start"/>
    <tableColumn id="17" name="Backlog_End"/>
    <tableColumn id="18" name="Buffer_FTE"/>
    <tableColumn id="19" name="FTE_required"/>
    <tableColumn id="20" name="Gap"/>
    <tableColumn id="21" name="RAG"/>
  </tableColumns>
  <tableStyleInfo name="TableStyleMedium4" showRowStripes="1"/>
</table>
</file>

<file path=xl/tables/table6.xml><?xml version="1.0" encoding="utf-8"?>
<table xmlns="http://schemas.openxmlformats.org/spreadsheetml/2006/main" id="6" name="tblExport" displayName="tblExport" ref="A2:M88" headerRowCount="1">
  <autoFilter ref="A2:M88"/>
  <tableColumns count="13">
    <tableColumn id="1" name="County"/>
    <tableColumn id="2" name="Period"/>
    <tableColumn id="3" name="AP"/>
    <tableColumn id="4" name="CPF"/>
    <tableColumn id="5" name="P_ref"/>
    <tableColumn id="6" name="P_eff"/>
    <tableColumn id="7" name="FTE_on"/>
    <tableColumn id="8" name="Utilization"/>
    <tableColumn id="9" name="Backlog_Start"/>
    <tableColumn id="10" name="Backlog_End"/>
    <tableColumn id="11" name="FTE_required"/>
    <tableColumn id="12" name="Gap"/>
    <tableColumn id="13" name="RAG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ACASM – Recommendations for Use (Minnesota County &amp; Statewide)</t>
        </is>
      </c>
    </row>
    <row r="3">
      <c r="A3" s="8" t="inlineStr">
        <is>
          <t>Recommendations</t>
        </is>
      </c>
    </row>
    <row r="5">
      <c r="A5" s="9" t="inlineStr">
        <is>
          <t>ACASM – Recommendations for Use (Minnesota County &amp; Statewide)</t>
        </is>
      </c>
    </row>
    <row r="7">
      <c r="A7" s="9" t="inlineStr">
        <is>
          <t>1) Use ACASM for workforce planning, not performance grading</t>
        </is>
      </c>
    </row>
    <row r="8">
      <c r="A8" s="9" t="inlineStr">
        <is>
          <t xml:space="preserve">- ACASM estimates staffing need based on workload/complexity/capacity. It should not be used to “rank” </t>
        </is>
      </c>
    </row>
    <row r="9">
      <c r="A9" s="9" t="inlineStr">
        <is>
          <t>counties for compliance or staff performance.</t>
        </is>
      </c>
    </row>
    <row r="11">
      <c r="A11" s="9" t="inlineStr">
        <is>
          <t>2) Establish a stable baseline period (per county)</t>
        </is>
      </c>
    </row>
    <row r="12">
      <c r="A12" s="9" t="inlineStr">
        <is>
          <t xml:space="preserve">- Choose a baseline quarter (or annual baseline) with stable operations (no major system outages, mass </t>
        </is>
      </c>
    </row>
    <row r="13">
      <c r="A13" s="9" t="inlineStr">
        <is>
          <t>vacancies, or extraordinary policy shocks).</t>
        </is>
      </c>
    </row>
    <row r="14">
      <c r="A14" s="9" t="inlineStr">
        <is>
          <t>- Refresh baseline annually (or semi-annually) to prevent drift.</t>
        </is>
      </c>
    </row>
    <row r="16">
      <c r="A16" s="9" t="inlineStr">
        <is>
          <t>3) Standardize workload categories and weights statewide</t>
        </is>
      </c>
    </row>
    <row r="17">
      <c r="A17" s="9" t="inlineStr">
        <is>
          <t>- Start with the provided weights as “Version 1”.</t>
        </is>
      </c>
    </row>
    <row r="18">
      <c r="A18" s="9" t="inlineStr">
        <is>
          <t>- Convene a small workgroup (ops + supervisors + analytics + finance) to validate weights.</t>
        </is>
      </c>
    </row>
    <row r="19">
      <c r="A19" s="9" t="inlineStr">
        <is>
          <t>- Version-control weights (Weights v1, v2…) and document changes.</t>
        </is>
      </c>
    </row>
    <row r="21">
      <c r="A21" s="9" t="inlineStr">
        <is>
          <t>4) Require minimum data quality checks before publishing results</t>
        </is>
      </c>
    </row>
    <row r="22">
      <c r="A22" s="9" t="inlineStr">
        <is>
          <t>- Ensure FTE_on &gt; 0 and Avg_FTE_Baseline &gt; 0</t>
        </is>
      </c>
    </row>
    <row r="23">
      <c r="A23" s="9" t="inlineStr">
        <is>
          <t>- Ensure Completed_Points_Baseline is present</t>
        </is>
      </c>
    </row>
    <row r="24">
      <c r="A24" s="9" t="inlineStr">
        <is>
          <t>- Ensure complexity counts sum to total cases</t>
        </is>
      </c>
    </row>
    <row r="25">
      <c r="A25" s="9" t="inlineStr">
        <is>
          <t>- Flag counties with missing inputs rather than forcing outputs</t>
        </is>
      </c>
    </row>
    <row r="27">
      <c r="A27" s="9" t="inlineStr">
        <is>
          <t>5) Interpret Utilization and Gap consistently</t>
        </is>
      </c>
    </row>
    <row r="28">
      <c r="A28" s="9" t="inlineStr">
        <is>
          <t>- Utilization is an early warning of sustainability:</t>
        </is>
      </c>
    </row>
    <row r="29">
      <c r="A29" s="9" t="inlineStr">
        <is>
          <t xml:space="preserve">  Green &lt; 0.75, Amber 0.75–0.85, Red ≥ 0.85 (editable in Inputs_State)</t>
        </is>
      </c>
    </row>
    <row r="30">
      <c r="A30" s="9" t="inlineStr">
        <is>
          <t>- Staffing Gap is the primary decision metric:</t>
        </is>
      </c>
    </row>
    <row r="31">
      <c r="A31" s="9" t="inlineStr">
        <is>
          <t xml:space="preserve">  Gap &gt; 0 = under-capacity; Gap &lt; 0 = potential excess capacity (verify before action)</t>
        </is>
      </c>
    </row>
    <row r="33">
      <c r="A33" s="9" t="inlineStr">
        <is>
          <t>6) Use the statewide roll-up correctly (weighted)</t>
        </is>
      </c>
    </row>
    <row r="34">
      <c r="A34" s="9" t="inlineStr">
        <is>
          <t>- State utilization must be computed as:</t>
        </is>
      </c>
    </row>
    <row r="35">
      <c r="A35" s="9" t="inlineStr">
        <is>
          <t xml:space="preserve">  SUM(AP) / SUM(FTE_on * P_eff)</t>
        </is>
      </c>
    </row>
    <row r="36">
      <c r="A36" s="9" t="inlineStr">
        <is>
          <t xml:space="preserve">  not an average of county utilization.</t>
        </is>
      </c>
    </row>
    <row r="38">
      <c r="A38" s="9" t="inlineStr">
        <is>
          <t>7) Pair ACASM with practical staffing actions</t>
        </is>
      </c>
    </row>
    <row r="39">
      <c r="A39" s="9" t="inlineStr">
        <is>
          <t>- Short-term: overtime authorization, temporary reassignments, backlog “swat” support</t>
        </is>
      </c>
    </row>
    <row r="40">
      <c r="A40" s="9" t="inlineStr">
        <is>
          <t>- Medium-term: hiring plans aligned to predicted gap and seasonality</t>
        </is>
      </c>
    </row>
    <row r="41">
      <c r="A41" s="9" t="inlineStr">
        <is>
          <t>- Long-term: process redesign for high-weight categories and automation opportunities</t>
        </is>
      </c>
    </row>
    <row r="43">
      <c r="A43" s="9" t="inlineStr">
        <is>
          <t>8) Keep a quarterly History series</t>
        </is>
      </c>
    </row>
    <row r="44">
      <c r="A44" s="9" t="inlineStr">
        <is>
          <t>- Append a quarterly snapshot to History for trend monitoring.</t>
        </is>
      </c>
    </row>
    <row r="45">
      <c r="A45" s="9" t="inlineStr">
        <is>
          <t>- Trends (3–6 quarters) are more reliable than a single-quarter spike.</t>
        </is>
      </c>
    </row>
    <row r="47">
      <c r="A47" s="9" t="inlineStr">
        <is>
          <t>9) Communicate clearly</t>
        </is>
      </c>
    </row>
    <row r="48">
      <c r="A48" s="9" t="inlineStr">
        <is>
          <t>- Present outputs as “Estimated FTE required under current workload and complexity”</t>
        </is>
      </c>
    </row>
    <row r="49">
      <c r="A49" s="9" t="inlineStr">
        <is>
          <t>- Include a short narrative on what is driving changes (arrivals vs complexity vs baseline productivity).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ACASM – Data Dictionary (Minnesota County &amp; Statewide)</t>
        </is>
      </c>
    </row>
    <row r="3">
      <c r="A3" s="8" t="inlineStr">
        <is>
          <t>Definitions</t>
        </is>
      </c>
    </row>
    <row r="5">
      <c r="A5" s="9" t="inlineStr">
        <is>
          <t>ACASM – Data Dictionary (Minnesota County &amp; Statewide)</t>
        </is>
      </c>
    </row>
    <row r="7">
      <c r="A7" s="9" t="inlineStr">
        <is>
          <t>A) Core Concepts</t>
        </is>
      </c>
    </row>
    <row r="8">
      <c r="A8" s="9" t="inlineStr">
        <is>
          <t>- AP (Arrival Points): Standardized workload points created from incoming work items during the period.</t>
        </is>
      </c>
    </row>
    <row r="9">
      <c r="A9" s="9" t="inlineStr">
        <is>
          <t>- W̄ (Average Case Weight): Average complexity-adjusted weight across cases.</t>
        </is>
      </c>
    </row>
    <row r="10">
      <c r="A10" s="9" t="inlineStr">
        <is>
          <t>- CPF (Complexity Pressure Factor): Ratio of current W̄ to baseline W̄.</t>
        </is>
      </c>
    </row>
    <row r="11">
      <c r="A11" s="9" t="inlineStr">
        <is>
          <t>- P_ref (Baseline Productivity): Completed workload points per FTE during the baseline period.</t>
        </is>
      </c>
    </row>
    <row r="12">
      <c r="A12" s="9" t="inlineStr">
        <is>
          <t>- P_eff (Effective Productivity): P_ref adjusted downward/upward by CPF.</t>
        </is>
      </c>
    </row>
    <row r="13">
      <c r="A13" s="9" t="inlineStr">
        <is>
          <t>- Capacity_eff: Effective capacity in points = FTE_on * P_eff.</t>
        </is>
      </c>
    </row>
    <row r="14">
      <c r="A14" s="9" t="inlineStr">
        <is>
          <t>- Utilization (U): Demand-to-capacity ratio = AP / Capacity_eff.</t>
        </is>
      </c>
    </row>
    <row r="15">
      <c r="A15" s="9" t="inlineStr">
        <is>
          <t>- Backlog_End: Backlog_Start + AP - Capacity_eff.</t>
        </is>
      </c>
    </row>
    <row r="16">
      <c r="A16" s="9" t="inlineStr">
        <is>
          <t>- FTE_required: AP / P_eff + Buffer_FTE.</t>
        </is>
      </c>
    </row>
    <row r="17">
      <c r="A17" s="9" t="inlineStr">
        <is>
          <t>- Gap: FTE_required - FTE_on.</t>
        </is>
      </c>
    </row>
    <row r="18">
      <c r="A18" s="9" t="inlineStr">
        <is>
          <t>- RAG: Color classification derived from Utilization thresholds.</t>
        </is>
      </c>
    </row>
    <row r="20">
      <c r="A20" s="9" t="inlineStr">
        <is>
          <t>B) Sheet: County_Baseline (Inputs; one row per county)</t>
        </is>
      </c>
    </row>
    <row r="21">
      <c r="A21" s="9" t="inlineStr">
        <is>
          <t>- County (text): Minnesota county name.</t>
        </is>
      </c>
    </row>
    <row r="22">
      <c r="A22" s="9" t="inlineStr">
        <is>
          <t>- Period (text): Reporting period label (e.g., 2025 Q4).</t>
        </is>
      </c>
    </row>
    <row r="23">
      <c r="A23" s="9" t="inlineStr">
        <is>
          <t>- FTE_on (number): On-staff FTE available for the period.</t>
        </is>
      </c>
    </row>
    <row r="24">
      <c r="A24" s="9" t="inlineStr">
        <is>
          <t>- Buffer_FTE (number): Operational buffer (leave, training, turnover). Typical 0.30–0.50.</t>
        </is>
      </c>
    </row>
    <row r="25">
      <c r="A25" s="9" t="inlineStr">
        <is>
          <t>- Backlog_Start (number): Starting backlog units (use your operational definition).</t>
        </is>
      </c>
    </row>
    <row r="26">
      <c r="A26" s="9" t="inlineStr">
        <is>
          <t>- Completed_Points_Baseline (number): Completed workload points in baseline period.</t>
        </is>
      </c>
    </row>
    <row r="27">
      <c r="A27" s="9" t="inlineStr">
        <is>
          <t>- Avg_FTE_Baseline (number): Average staffed FTE in baseline period.</t>
        </is>
      </c>
    </row>
    <row r="28">
      <c r="A28" s="9" t="inlineStr">
        <is>
          <t>- Wbar_Baseline (number): Baseline average case weight (W̄_baseline). Used for CPF.</t>
        </is>
      </c>
    </row>
    <row r="30">
      <c r="A30" s="9" t="inlineStr">
        <is>
          <t>C) Sheet: Weights (Inputs; statewide)</t>
        </is>
      </c>
    </row>
    <row r="31">
      <c r="A31" s="9" t="inlineStr">
        <is>
          <t>- Category (text): Work item category.</t>
        </is>
      </c>
    </row>
    <row r="32">
      <c r="A32" s="9" t="inlineStr">
        <is>
          <t>- Default_Weight (number): Points per unit of work item.</t>
        </is>
      </c>
    </row>
    <row r="34">
      <c r="A34" s="9" t="inlineStr">
        <is>
          <t>D) Sheet: County_Arrivals (Inputs; long table)</t>
        </is>
      </c>
    </row>
    <row r="35">
      <c r="A35" s="9" t="inlineStr">
        <is>
          <t>- County (text)</t>
        </is>
      </c>
    </row>
    <row r="36">
      <c r="A36" s="9" t="inlineStr">
        <is>
          <t>- Period (text)</t>
        </is>
      </c>
    </row>
    <row r="37">
      <c r="A37" s="9" t="inlineStr">
        <is>
          <t>- Category (text)</t>
        </is>
      </c>
    </row>
    <row r="38">
      <c r="A38" s="9" t="inlineStr">
        <is>
          <t>- Count (number): Number of arrivals in the period for that county/category.</t>
        </is>
      </c>
    </row>
    <row r="39">
      <c r="A39" s="9" t="inlineStr">
        <is>
          <t>- Weight (number): Looked up from Weights table.</t>
        </is>
      </c>
    </row>
    <row r="40">
      <c r="A40" s="9" t="inlineStr">
        <is>
          <t>- Points (number): Count * Weight.</t>
        </is>
      </c>
    </row>
    <row r="42">
      <c r="A42" s="9" t="inlineStr">
        <is>
          <t>E) Sheet: County_Complexity (Inputs; long table)</t>
        </is>
      </c>
    </row>
    <row r="43">
      <c r="A43" s="9" t="inlineStr">
        <is>
          <t>- County (text)</t>
        </is>
      </c>
    </row>
    <row r="44">
      <c r="A44" s="9" t="inlineStr">
        <is>
          <t>- Period (text)</t>
        </is>
      </c>
    </row>
    <row r="45">
      <c r="A45" s="9" t="inlineStr">
        <is>
          <t>- m_bucket (text): Complexity factor bucket (0,1,2,3,4,5,6+).</t>
        </is>
      </c>
    </row>
    <row r="46">
      <c r="A46" s="9" t="inlineStr">
        <is>
          <t>- Cases_Current (number): Number of cases in current period in that bucket.</t>
        </is>
      </c>
    </row>
    <row r="47">
      <c r="A47" s="9" t="inlineStr">
        <is>
          <t>- Cases_Baseline (number): Number of cases in baseline period in that bucket.</t>
        </is>
      </c>
    </row>
    <row r="48">
      <c r="A48" s="9" t="inlineStr">
        <is>
          <t>- Weight_Current (number): Cases_Current * (1 + Δ*m).</t>
        </is>
      </c>
    </row>
    <row r="49">
      <c r="A49" s="9" t="inlineStr">
        <is>
          <t>- Weight_Baseline (number): Cases_Baseline * (1 + Δ*m).</t>
        </is>
      </c>
    </row>
    <row r="50">
      <c r="A50" s="9" t="inlineStr">
        <is>
          <t>Notes:</t>
        </is>
      </c>
    </row>
    <row r="51">
      <c r="A51" s="9" t="inlineStr">
        <is>
          <t>- Δ is in Inputs_State (default 0.062).</t>
        </is>
      </c>
    </row>
    <row r="52">
      <c r="A52" s="9" t="inlineStr">
        <is>
          <t>- For 6+ bucket, m is treated as 6.</t>
        </is>
      </c>
    </row>
    <row r="54">
      <c r="A54" s="9" t="inlineStr">
        <is>
          <t>F) Sheet: County_Calculator (Outputs; one row per county)</t>
        </is>
      </c>
    </row>
    <row r="55">
      <c r="A55" s="9" t="inlineStr">
        <is>
          <t>- AP: SUM of Points in County_Arrivals.</t>
        </is>
      </c>
    </row>
    <row r="56">
      <c r="A56" s="9" t="inlineStr">
        <is>
          <t>- Cases_Current: SUM Cases_Current in County_Complexity.</t>
        </is>
      </c>
    </row>
    <row r="57">
      <c r="A57" s="9" t="inlineStr">
        <is>
          <t>- WC_Current: SUM Weight_Current in County_Complexity.</t>
        </is>
      </c>
    </row>
    <row r="58">
      <c r="A58" s="9" t="inlineStr">
        <is>
          <t>- Wbar_Current: WC_Current / Cases_Current.</t>
        </is>
      </c>
    </row>
    <row r="59">
      <c r="A59" s="9" t="inlineStr">
        <is>
          <t>- Cases_Baseline, WC_Baseline, Wbar_Baseline: same logic using baseline columns.</t>
        </is>
      </c>
    </row>
    <row r="60">
      <c r="A60" s="9" t="inlineStr">
        <is>
          <t>- CPF: Wbar_Current / Wbar_Baseline.</t>
        </is>
      </c>
    </row>
    <row r="61">
      <c r="A61" s="9" t="inlineStr">
        <is>
          <t>- P_ref: Completed_Points_Baseline / Avg_FTE_Baseline.</t>
        </is>
      </c>
    </row>
    <row r="62">
      <c r="A62" s="9" t="inlineStr">
        <is>
          <t>- P_eff: P_ref / CPF.</t>
        </is>
      </c>
    </row>
    <row r="63">
      <c r="A63" s="9" t="inlineStr">
        <is>
          <t>- FTE_on: from County_Baseline.</t>
        </is>
      </c>
    </row>
    <row r="64">
      <c r="A64" s="9" t="inlineStr">
        <is>
          <t>- Capacity_eff: FTE_on * P_eff.</t>
        </is>
      </c>
    </row>
    <row r="65">
      <c r="A65" s="9" t="inlineStr">
        <is>
          <t>- Utilization: AP / Capacity_eff.</t>
        </is>
      </c>
    </row>
    <row r="66">
      <c r="A66" s="9" t="inlineStr">
        <is>
          <t>- Backlog_Start: from County_Baseline.</t>
        </is>
      </c>
    </row>
    <row r="67">
      <c r="A67" s="9" t="inlineStr">
        <is>
          <t>- Backlog_End: Backlog_Start + AP - Capacity_eff.</t>
        </is>
      </c>
    </row>
    <row r="68">
      <c r="A68" s="9" t="inlineStr">
        <is>
          <t>- Buffer_FTE: from County_Baseline (or default).</t>
        </is>
      </c>
    </row>
    <row r="69">
      <c r="A69" s="9" t="inlineStr">
        <is>
          <t>- FTE_required: AP / P_eff + Buffer_FTE.</t>
        </is>
      </c>
    </row>
    <row r="70">
      <c r="A70" s="9" t="inlineStr">
        <is>
          <t>- Gap: FTE_required - FTE_on.</t>
        </is>
      </c>
    </row>
    <row r="71">
      <c r="A71" s="9" t="inlineStr">
        <is>
          <t>- RAG: derived from utilization thresholds.</t>
        </is>
      </c>
    </row>
    <row r="73">
      <c r="A73" s="9" t="inlineStr">
        <is>
          <t>G) Sheet: State_Rollup (Outputs; statewide)</t>
        </is>
      </c>
    </row>
    <row r="74">
      <c r="A74" s="9" t="inlineStr">
        <is>
          <t>- AP_state = SUM(county AP)</t>
        </is>
      </c>
    </row>
    <row r="75">
      <c r="A75" s="9" t="inlineStr">
        <is>
          <t>- Capacity_state = SUM(county Capacity_eff)</t>
        </is>
      </c>
    </row>
    <row r="76">
      <c r="A76" s="9" t="inlineStr">
        <is>
          <t>- Util_state = AP_state / Capacity_state</t>
        </is>
      </c>
    </row>
    <row r="77">
      <c r="A77" s="9" t="inlineStr">
        <is>
          <t>- Backlog totals, FTE totals, Gap totals = SUM across counties</t>
        </is>
      </c>
    </row>
    <row r="78">
      <c r="A78" s="9" t="inlineStr">
        <is>
          <t>- State RAG derived from Util_state thresholds</t>
        </is>
      </c>
    </row>
    <row r="80">
      <c r="A80" s="9" t="inlineStr">
        <is>
          <t>H) Tableau_Export (Outputs; tidy extract)</t>
        </is>
      </c>
    </row>
    <row r="81">
      <c r="A81" s="9" t="inlineStr">
        <is>
          <t>- One row per county/period with key measures for Tableau/Power BI/Streamlit.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t="inlineStr">
        <is>
          <t>Category</t>
        </is>
      </c>
      <c r="B1" t="inlineStr">
        <is>
          <t>Default_Weight</t>
        </is>
      </c>
    </row>
    <row r="2">
      <c r="A2" t="inlineStr">
        <is>
          <t>Customer Contacts - Email/Portal</t>
        </is>
      </c>
      <c r="B2" t="n">
        <v>0.15</v>
      </c>
    </row>
    <row r="3">
      <c r="A3" t="inlineStr">
        <is>
          <t>Customer Contacts - Telephone</t>
        </is>
      </c>
      <c r="B3" t="n">
        <v>0.2</v>
      </c>
    </row>
    <row r="4">
      <c r="A4" t="inlineStr">
        <is>
          <t>Enforcement / R&amp;M Actions</t>
        </is>
      </c>
      <c r="B4" t="n">
        <v>1.3</v>
      </c>
    </row>
    <row r="5">
      <c r="A5" t="inlineStr">
        <is>
          <t>Full Locate / Long Locate</t>
        </is>
      </c>
      <c r="B5" t="n">
        <v>2</v>
      </c>
    </row>
    <row r="6">
      <c r="A6" t="inlineStr">
        <is>
          <t>Incarceration Coordination</t>
        </is>
      </c>
      <c r="B6" t="n">
        <v>0.5</v>
      </c>
    </row>
    <row r="7">
      <c r="A7" t="inlineStr">
        <is>
          <t>Interpreter/Language Services</t>
        </is>
      </c>
      <c r="B7" t="n">
        <v>0.6</v>
      </c>
    </row>
    <row r="8">
      <c r="A8" t="inlineStr">
        <is>
          <t>METS / Interstate Complexity</t>
        </is>
      </c>
      <c r="B8" t="n">
        <v>1.5</v>
      </c>
    </row>
    <row r="9">
      <c r="A9" t="inlineStr">
        <is>
          <t>Safety / High Risk Handling</t>
        </is>
      </c>
      <c r="B9" t="n">
        <v>0.7</v>
      </c>
    </row>
    <row r="10">
      <c r="A10" t="inlineStr">
        <is>
          <t>Standard Case Work</t>
        </is>
      </c>
      <c r="B10" t="n">
        <v>1</v>
      </c>
    </row>
    <row r="11">
      <c r="A11" t="inlineStr">
        <is>
          <t>Unlocatable / Skip Work</t>
        </is>
      </c>
      <c r="B11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0" customWidth="1" min="3" max="3"/>
  </cols>
  <sheetData>
    <row r="1">
      <c r="A1" s="1" t="inlineStr">
        <is>
          <t>County</t>
        </is>
      </c>
      <c r="B1" s="1" t="inlineStr">
        <is>
          <t>Region (optional)</t>
        </is>
      </c>
      <c r="C1" s="1" t="inlineStr">
        <is>
          <t>Notes (optional)</t>
        </is>
      </c>
    </row>
    <row r="2">
      <c r="A2" t="inlineStr">
        <is>
          <t>Aitkin</t>
        </is>
      </c>
    </row>
    <row r="3">
      <c r="A3" t="inlineStr">
        <is>
          <t>Anoka</t>
        </is>
      </c>
    </row>
    <row r="4">
      <c r="A4" t="inlineStr">
        <is>
          <t>Becker</t>
        </is>
      </c>
    </row>
    <row r="5">
      <c r="A5" t="inlineStr">
        <is>
          <t>Beltrami</t>
        </is>
      </c>
    </row>
    <row r="6">
      <c r="A6" t="inlineStr">
        <is>
          <t>Benton</t>
        </is>
      </c>
    </row>
    <row r="7">
      <c r="A7" t="inlineStr">
        <is>
          <t>Big Stone</t>
        </is>
      </c>
    </row>
    <row r="8">
      <c r="A8" t="inlineStr">
        <is>
          <t>Blue Earth</t>
        </is>
      </c>
    </row>
    <row r="9">
      <c r="A9" t="inlineStr">
        <is>
          <t>Brown</t>
        </is>
      </c>
    </row>
    <row r="10">
      <c r="A10" t="inlineStr">
        <is>
          <t>Carlton</t>
        </is>
      </c>
    </row>
    <row r="11">
      <c r="A11" t="inlineStr">
        <is>
          <t>Carver</t>
        </is>
      </c>
    </row>
    <row r="12">
      <c r="A12" t="inlineStr">
        <is>
          <t>Cass</t>
        </is>
      </c>
    </row>
    <row r="13">
      <c r="A13" t="inlineStr">
        <is>
          <t>Chippewa</t>
        </is>
      </c>
    </row>
    <row r="14">
      <c r="A14" t="inlineStr">
        <is>
          <t>Chisago</t>
        </is>
      </c>
    </row>
    <row r="15">
      <c r="A15" t="inlineStr">
        <is>
          <t>Clay</t>
        </is>
      </c>
    </row>
    <row r="16">
      <c r="A16" t="inlineStr">
        <is>
          <t>Clearwater</t>
        </is>
      </c>
    </row>
    <row r="17">
      <c r="A17" t="inlineStr">
        <is>
          <t>Cook</t>
        </is>
      </c>
    </row>
    <row r="18">
      <c r="A18" t="inlineStr">
        <is>
          <t>Cottonwood</t>
        </is>
      </c>
    </row>
    <row r="19">
      <c r="A19" t="inlineStr">
        <is>
          <t>Crow Wing</t>
        </is>
      </c>
    </row>
    <row r="20">
      <c r="A20" t="inlineStr">
        <is>
          <t>Dakota</t>
        </is>
      </c>
    </row>
    <row r="21">
      <c r="A21" t="inlineStr">
        <is>
          <t>Dodge</t>
        </is>
      </c>
    </row>
    <row r="22">
      <c r="A22" t="inlineStr">
        <is>
          <t>Douglas</t>
        </is>
      </c>
    </row>
    <row r="23">
      <c r="A23" t="inlineStr">
        <is>
          <t>Faribault</t>
        </is>
      </c>
    </row>
    <row r="24">
      <c r="A24" t="inlineStr">
        <is>
          <t>Fillmore</t>
        </is>
      </c>
    </row>
    <row r="25">
      <c r="A25" t="inlineStr">
        <is>
          <t>Freeborn</t>
        </is>
      </c>
    </row>
    <row r="26">
      <c r="A26" t="inlineStr">
        <is>
          <t>Goodhue</t>
        </is>
      </c>
    </row>
    <row r="27">
      <c r="A27" t="inlineStr">
        <is>
          <t>Grant</t>
        </is>
      </c>
    </row>
    <row r="28">
      <c r="A28" t="inlineStr">
        <is>
          <t>Hennepin</t>
        </is>
      </c>
    </row>
    <row r="29">
      <c r="A29" t="inlineStr">
        <is>
          <t>Houston</t>
        </is>
      </c>
    </row>
    <row r="30">
      <c r="A30" t="inlineStr">
        <is>
          <t>Hubbard</t>
        </is>
      </c>
    </row>
    <row r="31">
      <c r="A31" t="inlineStr">
        <is>
          <t>Isanti</t>
        </is>
      </c>
    </row>
    <row r="32">
      <c r="A32" t="inlineStr">
        <is>
          <t>Itasca</t>
        </is>
      </c>
    </row>
    <row r="33">
      <c r="A33" t="inlineStr">
        <is>
          <t>Jackson</t>
        </is>
      </c>
    </row>
    <row r="34">
      <c r="A34" t="inlineStr">
        <is>
          <t>Kanabec</t>
        </is>
      </c>
    </row>
    <row r="35">
      <c r="A35" t="inlineStr">
        <is>
          <t>Kandiyohi</t>
        </is>
      </c>
    </row>
    <row r="36">
      <c r="A36" t="inlineStr">
        <is>
          <t>Kittson</t>
        </is>
      </c>
    </row>
    <row r="37">
      <c r="A37" t="inlineStr">
        <is>
          <t>Koochiching</t>
        </is>
      </c>
    </row>
    <row r="38">
      <c r="A38" t="inlineStr">
        <is>
          <t>Lac qui Parle</t>
        </is>
      </c>
    </row>
    <row r="39">
      <c r="A39" t="inlineStr">
        <is>
          <t>Lake</t>
        </is>
      </c>
    </row>
    <row r="40">
      <c r="A40" t="inlineStr">
        <is>
          <t>Lake of the Woods</t>
        </is>
      </c>
    </row>
    <row r="41">
      <c r="A41" t="inlineStr">
        <is>
          <t>Le Sueur</t>
        </is>
      </c>
    </row>
    <row r="42">
      <c r="A42" t="inlineStr">
        <is>
          <t>Lincoln</t>
        </is>
      </c>
    </row>
    <row r="43">
      <c r="A43" t="inlineStr">
        <is>
          <t>Lyon</t>
        </is>
      </c>
    </row>
    <row r="44">
      <c r="A44" t="inlineStr">
        <is>
          <t>McLeod</t>
        </is>
      </c>
    </row>
    <row r="45">
      <c r="A45" t="inlineStr">
        <is>
          <t>Mahnomen</t>
        </is>
      </c>
    </row>
    <row r="46">
      <c r="A46" t="inlineStr">
        <is>
          <t>Marshall</t>
        </is>
      </c>
    </row>
    <row r="47">
      <c r="A47" t="inlineStr">
        <is>
          <t>Martin</t>
        </is>
      </c>
    </row>
    <row r="48">
      <c r="A48" t="inlineStr">
        <is>
          <t>Meeker</t>
        </is>
      </c>
    </row>
    <row r="49">
      <c r="A49" t="inlineStr">
        <is>
          <t>Mille Lacs</t>
        </is>
      </c>
    </row>
    <row r="50">
      <c r="A50" t="inlineStr">
        <is>
          <t>Morrison</t>
        </is>
      </c>
    </row>
    <row r="51">
      <c r="A51" t="inlineStr">
        <is>
          <t>Mower</t>
        </is>
      </c>
    </row>
    <row r="52">
      <c r="A52" t="inlineStr">
        <is>
          <t>Murray</t>
        </is>
      </c>
    </row>
    <row r="53">
      <c r="A53" t="inlineStr">
        <is>
          <t>Nicollet</t>
        </is>
      </c>
    </row>
    <row r="54">
      <c r="A54" t="inlineStr">
        <is>
          <t>Nobles</t>
        </is>
      </c>
    </row>
    <row r="55">
      <c r="A55" t="inlineStr">
        <is>
          <t>Norman</t>
        </is>
      </c>
    </row>
    <row r="56">
      <c r="A56" t="inlineStr">
        <is>
          <t>Olmsted</t>
        </is>
      </c>
    </row>
    <row r="57">
      <c r="A57" t="inlineStr">
        <is>
          <t>Otter Tail</t>
        </is>
      </c>
    </row>
    <row r="58">
      <c r="A58" t="inlineStr">
        <is>
          <t>Pennington</t>
        </is>
      </c>
    </row>
    <row r="59">
      <c r="A59" t="inlineStr">
        <is>
          <t>Pine</t>
        </is>
      </c>
    </row>
    <row r="60">
      <c r="A60" t="inlineStr">
        <is>
          <t>Pipestone</t>
        </is>
      </c>
    </row>
    <row r="61">
      <c r="A61" t="inlineStr">
        <is>
          <t>Polk</t>
        </is>
      </c>
    </row>
    <row r="62">
      <c r="A62" t="inlineStr">
        <is>
          <t>Pope</t>
        </is>
      </c>
    </row>
    <row r="63">
      <c r="A63" t="inlineStr">
        <is>
          <t>Ramsey</t>
        </is>
      </c>
    </row>
    <row r="64">
      <c r="A64" t="inlineStr">
        <is>
          <t>Red Lake</t>
        </is>
      </c>
    </row>
    <row r="65">
      <c r="A65" t="inlineStr">
        <is>
          <t>Redwood</t>
        </is>
      </c>
    </row>
    <row r="66">
      <c r="A66" t="inlineStr">
        <is>
          <t>Renville</t>
        </is>
      </c>
    </row>
    <row r="67">
      <c r="A67" t="inlineStr">
        <is>
          <t>Rice</t>
        </is>
      </c>
    </row>
    <row r="68">
      <c r="A68" t="inlineStr">
        <is>
          <t>Rock</t>
        </is>
      </c>
    </row>
    <row r="69">
      <c r="A69" t="inlineStr">
        <is>
          <t>Roseau</t>
        </is>
      </c>
    </row>
    <row r="70">
      <c r="A70" t="inlineStr">
        <is>
          <t>St. Louis</t>
        </is>
      </c>
    </row>
    <row r="71">
      <c r="A71" t="inlineStr">
        <is>
          <t>Scott</t>
        </is>
      </c>
    </row>
    <row r="72">
      <c r="A72" t="inlineStr">
        <is>
          <t>Sherburne</t>
        </is>
      </c>
    </row>
    <row r="73">
      <c r="A73" t="inlineStr">
        <is>
          <t>Sibley</t>
        </is>
      </c>
    </row>
    <row r="74">
      <c r="A74" t="inlineStr">
        <is>
          <t>Stearns</t>
        </is>
      </c>
    </row>
    <row r="75">
      <c r="A75" t="inlineStr">
        <is>
          <t>Steele</t>
        </is>
      </c>
    </row>
    <row r="76">
      <c r="A76" t="inlineStr">
        <is>
          <t>Stevens</t>
        </is>
      </c>
    </row>
    <row r="77">
      <c r="A77" t="inlineStr">
        <is>
          <t>Swift</t>
        </is>
      </c>
    </row>
    <row r="78">
      <c r="A78" t="inlineStr">
        <is>
          <t>Todd</t>
        </is>
      </c>
    </row>
    <row r="79">
      <c r="A79" t="inlineStr">
        <is>
          <t>Traverse</t>
        </is>
      </c>
    </row>
    <row r="80">
      <c r="A80" t="inlineStr">
        <is>
          <t>Wabasha</t>
        </is>
      </c>
    </row>
    <row r="81">
      <c r="A81" t="inlineStr">
        <is>
          <t>Wadena</t>
        </is>
      </c>
    </row>
    <row r="82">
      <c r="A82" t="inlineStr">
        <is>
          <t>Washington</t>
        </is>
      </c>
    </row>
    <row r="83">
      <c r="A83" t="inlineStr">
        <is>
          <t>Watonwan</t>
        </is>
      </c>
    </row>
    <row r="84">
      <c r="A84" t="inlineStr">
        <is>
          <t>Wilkin</t>
        </is>
      </c>
    </row>
    <row r="85">
      <c r="A85" t="inlineStr">
        <is>
          <t>Winona</t>
        </is>
      </c>
    </row>
    <row r="86">
      <c r="A86" t="inlineStr">
        <is>
          <t>Wright</t>
        </is>
      </c>
    </row>
    <row r="87">
      <c r="A87" t="inlineStr">
        <is>
          <t>Yellow Medicine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2" t="inlineStr">
        <is>
          <t>Period</t>
        </is>
      </c>
      <c r="B1" s="2" t="inlineStr">
        <is>
          <t>2025 Q4</t>
        </is>
      </c>
    </row>
    <row r="2">
      <c r="A2" s="3" t="inlineStr">
        <is>
          <t>Delta per Complexity Factor (Δ)</t>
        </is>
      </c>
      <c r="B2" s="4" t="inlineStr">
        <is>
          <t>0.062</t>
        </is>
      </c>
    </row>
    <row r="3">
      <c r="A3" s="3" t="inlineStr">
        <is>
          <t>Utilization Green Max</t>
        </is>
      </c>
      <c r="B3" s="4" t="inlineStr">
        <is>
          <t>0.75</t>
        </is>
      </c>
    </row>
    <row r="4">
      <c r="A4" s="3" t="inlineStr">
        <is>
          <t>Utilization Amber Max</t>
        </is>
      </c>
      <c r="B4" s="4" t="inlineStr">
        <is>
          <t>0.85</t>
        </is>
      </c>
    </row>
    <row r="5">
      <c r="A5" s="3" t="inlineStr">
        <is>
          <t>Default Buffer (FTE)</t>
        </is>
      </c>
      <c r="B5" s="4" t="inlineStr">
        <is>
          <t>0.30</t>
        </is>
      </c>
    </row>
    <row r="6">
      <c r="A6" s="3" t="inlineStr">
        <is>
          <t>State Notes</t>
        </is>
      </c>
      <c r="B6" s="4" t="inlineStr">
        <is>
          <t>Edit county-level inputs on County_Baseline</t>
        </is>
      </c>
    </row>
    <row r="8">
      <c r="A8" t="inlineStr">
        <is>
          <t>Demo Mode (TRUE/FALSE)</t>
        </is>
      </c>
      <c r="B8" t="inlineStr">
        <is>
          <t>TRUE</t>
        </is>
      </c>
    </row>
    <row r="9">
      <c r="A9" t="inlineStr">
        <is>
          <t>Demo Note</t>
        </is>
      </c>
      <c r="B9" t="inlineStr">
        <is>
          <t>Synthetic demo data prefilled for training/walkthrough; overwrite with real data when available.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4" customWidth="1" min="5" max="5"/>
    <col width="24" customWidth="1" min="6" max="6"/>
    <col width="18" customWidth="1" min="7" max="7"/>
    <col width="14" customWidth="1" min="8" max="8"/>
  </cols>
  <sheetData>
    <row r="1">
      <c r="A1" s="1" t="inlineStr">
        <is>
          <t>County</t>
        </is>
      </c>
      <c r="B1" s="1" t="inlineStr">
        <is>
          <t>Period</t>
        </is>
      </c>
      <c r="C1" s="1" t="inlineStr">
        <is>
          <t>FTE_on</t>
        </is>
      </c>
      <c r="D1" s="1" t="inlineStr">
        <is>
          <t>Buffer_FTE</t>
        </is>
      </c>
      <c r="E1" s="1" t="inlineStr">
        <is>
          <t>Backlog_Start</t>
        </is>
      </c>
      <c r="F1" s="1" t="inlineStr">
        <is>
          <t>Completed_Points_Baseline</t>
        </is>
      </c>
      <c r="G1" s="1" t="inlineStr">
        <is>
          <t>Avg_FTE_Baseline</t>
        </is>
      </c>
      <c r="H1" s="1" t="inlineStr">
        <is>
          <t>Wbar_Baseline</t>
        </is>
      </c>
    </row>
    <row r="2">
      <c r="A2" t="inlineStr">
        <is>
          <t>Aitkin</t>
        </is>
      </c>
      <c r="B2">
        <f>Inputs_State!$B$1</f>
        <v/>
      </c>
      <c r="C2" t="n">
        <v>11</v>
      </c>
      <c r="D2" t="n">
        <v>0.3</v>
      </c>
      <c r="E2" t="n">
        <v>2977</v>
      </c>
      <c r="F2" t="n">
        <v>9472</v>
      </c>
      <c r="G2" t="n">
        <v>9.9</v>
      </c>
      <c r="H2" t="n">
        <v>1.648</v>
      </c>
    </row>
    <row r="3">
      <c r="A3" t="inlineStr">
        <is>
          <t>Anoka</t>
        </is>
      </c>
      <c r="B3">
        <f>Inputs_State!$B$1</f>
        <v/>
      </c>
      <c r="C3" t="n">
        <v>66.2</v>
      </c>
      <c r="D3" t="n">
        <v>0.5</v>
      </c>
      <c r="E3" t="n">
        <v>13382</v>
      </c>
      <c r="F3" t="n">
        <v>53528</v>
      </c>
      <c r="G3" t="n">
        <v>64.3</v>
      </c>
      <c r="H3" t="n">
        <v>1.71</v>
      </c>
    </row>
    <row r="4">
      <c r="A4" t="inlineStr">
        <is>
          <t>Becker</t>
        </is>
      </c>
      <c r="B4">
        <f>Inputs_State!$B$1</f>
        <v/>
      </c>
      <c r="C4" t="n">
        <v>4.3</v>
      </c>
      <c r="D4" t="n">
        <v>0.3</v>
      </c>
      <c r="E4" t="n">
        <v>1014</v>
      </c>
      <c r="F4" t="n">
        <v>3748</v>
      </c>
      <c r="G4" t="n">
        <v>4.5</v>
      </c>
      <c r="H4" t="n">
        <v>1.685</v>
      </c>
    </row>
    <row r="5">
      <c r="A5" t="inlineStr">
        <is>
          <t>Beltrami</t>
        </is>
      </c>
      <c r="B5">
        <f>Inputs_State!$B$1</f>
        <v/>
      </c>
      <c r="C5" t="n">
        <v>31.2</v>
      </c>
      <c r="D5" t="n">
        <v>0.4</v>
      </c>
      <c r="E5" t="n">
        <v>1940</v>
      </c>
      <c r="F5" t="n">
        <v>27573</v>
      </c>
      <c r="G5" t="n">
        <v>32</v>
      </c>
      <c r="H5" t="n">
        <v>1.716</v>
      </c>
    </row>
    <row r="6">
      <c r="A6" t="inlineStr">
        <is>
          <t>Benton</t>
        </is>
      </c>
      <c r="B6">
        <f>Inputs_State!$B$1</f>
        <v/>
      </c>
      <c r="C6" t="n">
        <v>14.5</v>
      </c>
      <c r="D6" t="n">
        <v>0.3</v>
      </c>
      <c r="E6" t="n">
        <v>3502</v>
      </c>
      <c r="F6" t="n">
        <v>12686</v>
      </c>
      <c r="G6" t="n">
        <v>12.9</v>
      </c>
      <c r="H6" t="n">
        <v>1.629</v>
      </c>
    </row>
    <row r="7">
      <c r="A7" t="inlineStr">
        <is>
          <t>Big Stone</t>
        </is>
      </c>
      <c r="B7">
        <f>Inputs_State!$B$1</f>
        <v/>
      </c>
      <c r="C7" t="n">
        <v>12.9</v>
      </c>
      <c r="D7" t="n">
        <v>0.3</v>
      </c>
      <c r="E7" t="n">
        <v>2849</v>
      </c>
      <c r="F7" t="n">
        <v>12889</v>
      </c>
      <c r="G7" t="n">
        <v>14.8</v>
      </c>
      <c r="H7" t="n">
        <v>1.674</v>
      </c>
    </row>
    <row r="8">
      <c r="A8" t="inlineStr">
        <is>
          <t>Blue Earth</t>
        </is>
      </c>
      <c r="B8">
        <f>Inputs_State!$B$1</f>
        <v/>
      </c>
      <c r="C8" t="n">
        <v>31.6</v>
      </c>
      <c r="D8" t="n">
        <v>0.4</v>
      </c>
      <c r="E8" t="n">
        <v>579</v>
      </c>
      <c r="F8" t="n">
        <v>30276</v>
      </c>
      <c r="G8" t="n">
        <v>31.9</v>
      </c>
      <c r="H8" t="n">
        <v>1.72</v>
      </c>
    </row>
    <row r="9">
      <c r="A9" t="inlineStr">
        <is>
          <t>Brown</t>
        </is>
      </c>
      <c r="B9">
        <f>Inputs_State!$B$1</f>
        <v/>
      </c>
      <c r="C9" t="n">
        <v>6.5</v>
      </c>
      <c r="D9" t="n">
        <v>0.3</v>
      </c>
      <c r="E9" t="n">
        <v>723</v>
      </c>
      <c r="F9" t="n">
        <v>4343</v>
      </c>
      <c r="G9" t="n">
        <v>5.4</v>
      </c>
      <c r="H9" t="n">
        <v>1.628</v>
      </c>
    </row>
    <row r="10">
      <c r="A10" t="inlineStr">
        <is>
          <t>Carlton</t>
        </is>
      </c>
      <c r="B10">
        <f>Inputs_State!$B$1</f>
        <v/>
      </c>
      <c r="C10" t="n">
        <v>11</v>
      </c>
      <c r="D10" t="n">
        <v>0.3</v>
      </c>
      <c r="E10" t="n">
        <v>4121</v>
      </c>
      <c r="F10" t="n">
        <v>8272</v>
      </c>
      <c r="G10" t="n">
        <v>9.800000000000001</v>
      </c>
      <c r="H10" t="n">
        <v>1.657</v>
      </c>
    </row>
    <row r="11">
      <c r="A11" t="inlineStr">
        <is>
          <t>Carver</t>
        </is>
      </c>
      <c r="B11">
        <f>Inputs_State!$B$1</f>
        <v/>
      </c>
      <c r="C11" t="n">
        <v>57.7</v>
      </c>
      <c r="D11" t="n">
        <v>0.5</v>
      </c>
      <c r="E11" t="n">
        <v>8758</v>
      </c>
      <c r="F11" t="n">
        <v>48006</v>
      </c>
      <c r="G11" t="n">
        <v>58.6</v>
      </c>
      <c r="H11" t="n">
        <v>1.692</v>
      </c>
    </row>
    <row r="12">
      <c r="A12" t="inlineStr">
        <is>
          <t>Cass</t>
        </is>
      </c>
      <c r="B12">
        <f>Inputs_State!$B$1</f>
        <v/>
      </c>
      <c r="C12" t="n">
        <v>14.9</v>
      </c>
      <c r="D12" t="n">
        <v>0.3</v>
      </c>
      <c r="E12" t="n">
        <v>4625</v>
      </c>
      <c r="F12" t="n">
        <v>15324</v>
      </c>
      <c r="G12" t="n">
        <v>15.6</v>
      </c>
      <c r="H12" t="n">
        <v>1.676</v>
      </c>
    </row>
    <row r="13">
      <c r="A13" t="inlineStr">
        <is>
          <t>Chippewa</t>
        </is>
      </c>
      <c r="B13">
        <f>Inputs_State!$B$1</f>
        <v/>
      </c>
      <c r="C13" t="n">
        <v>6.5</v>
      </c>
      <c r="D13" t="n">
        <v>0.3</v>
      </c>
      <c r="E13" t="n">
        <v>2452</v>
      </c>
      <c r="F13" t="n">
        <v>4652</v>
      </c>
      <c r="G13" t="n">
        <v>5.6</v>
      </c>
      <c r="H13" t="n">
        <v>1.652</v>
      </c>
    </row>
    <row r="14">
      <c r="A14" t="inlineStr">
        <is>
          <t>Chisago</t>
        </is>
      </c>
      <c r="B14">
        <f>Inputs_State!$B$1</f>
        <v/>
      </c>
      <c r="C14" t="n">
        <v>32.5</v>
      </c>
      <c r="D14" t="n">
        <v>0.4</v>
      </c>
      <c r="E14" t="n">
        <v>5965</v>
      </c>
      <c r="F14" t="n">
        <v>32084</v>
      </c>
      <c r="G14" t="n">
        <v>32.1</v>
      </c>
      <c r="H14" t="n">
        <v>1.706</v>
      </c>
    </row>
    <row r="15">
      <c r="A15" t="inlineStr">
        <is>
          <t>Clay</t>
        </is>
      </c>
      <c r="B15">
        <f>Inputs_State!$B$1</f>
        <v/>
      </c>
      <c r="C15" t="n">
        <v>20.3</v>
      </c>
      <c r="D15" t="n">
        <v>0.4</v>
      </c>
      <c r="E15" t="n">
        <v>7290</v>
      </c>
      <c r="F15" t="n">
        <v>17854</v>
      </c>
      <c r="G15" t="n">
        <v>19.4</v>
      </c>
      <c r="H15" t="n">
        <v>1.699</v>
      </c>
    </row>
    <row r="16">
      <c r="A16" t="inlineStr">
        <is>
          <t>Clearwater</t>
        </is>
      </c>
      <c r="B16">
        <f>Inputs_State!$B$1</f>
        <v/>
      </c>
      <c r="C16" t="n">
        <v>8.4</v>
      </c>
      <c r="D16" t="n">
        <v>0.3</v>
      </c>
      <c r="E16" t="n">
        <v>158</v>
      </c>
      <c r="F16" t="n">
        <v>6735</v>
      </c>
      <c r="G16" t="n">
        <v>8.4</v>
      </c>
      <c r="H16" t="n">
        <v>1.72</v>
      </c>
    </row>
    <row r="17">
      <c r="A17" t="inlineStr">
        <is>
          <t>Cook</t>
        </is>
      </c>
      <c r="B17">
        <f>Inputs_State!$B$1</f>
        <v/>
      </c>
      <c r="C17" t="n">
        <v>5.2</v>
      </c>
      <c r="D17" t="n">
        <v>0.3</v>
      </c>
      <c r="E17" t="n">
        <v>794</v>
      </c>
      <c r="F17" t="n">
        <v>3897</v>
      </c>
      <c r="G17" t="n">
        <v>4.9</v>
      </c>
      <c r="H17" t="n">
        <v>1.699</v>
      </c>
    </row>
    <row r="18">
      <c r="A18" t="inlineStr">
        <is>
          <t>Cottonwood</t>
        </is>
      </c>
      <c r="B18">
        <f>Inputs_State!$B$1</f>
        <v/>
      </c>
      <c r="C18" t="n">
        <v>15</v>
      </c>
      <c r="D18" t="n">
        <v>0.3</v>
      </c>
      <c r="E18" t="n">
        <v>4324</v>
      </c>
      <c r="F18" t="n">
        <v>12837</v>
      </c>
      <c r="G18" t="n">
        <v>16.4</v>
      </c>
      <c r="H18" t="n">
        <v>1.717</v>
      </c>
    </row>
    <row r="19">
      <c r="A19" t="inlineStr">
        <is>
          <t>Crow Wing</t>
        </is>
      </c>
      <c r="B19">
        <f>Inputs_State!$B$1</f>
        <v/>
      </c>
      <c r="C19" t="n">
        <v>28.6</v>
      </c>
      <c r="D19" t="n">
        <v>0.4</v>
      </c>
      <c r="E19" t="n">
        <v>4974</v>
      </c>
      <c r="F19" t="n">
        <v>23558</v>
      </c>
      <c r="G19" t="n">
        <v>29.2</v>
      </c>
      <c r="H19" t="n">
        <v>1.679</v>
      </c>
    </row>
    <row r="20">
      <c r="A20" t="inlineStr">
        <is>
          <t>Dakota</t>
        </is>
      </c>
      <c r="B20">
        <f>Inputs_State!$B$1</f>
        <v/>
      </c>
      <c r="C20" t="n">
        <v>50.9</v>
      </c>
      <c r="D20" t="n">
        <v>0.5</v>
      </c>
      <c r="E20" t="n">
        <v>3637</v>
      </c>
      <c r="F20" t="n">
        <v>45007</v>
      </c>
      <c r="G20" t="n">
        <v>50</v>
      </c>
      <c r="H20" t="n">
        <v>1.741</v>
      </c>
    </row>
    <row r="21">
      <c r="A21" t="inlineStr">
        <is>
          <t>Dodge</t>
        </is>
      </c>
      <c r="B21">
        <f>Inputs_State!$B$1</f>
        <v/>
      </c>
      <c r="C21" t="n">
        <v>14</v>
      </c>
      <c r="D21" t="n">
        <v>0.3</v>
      </c>
      <c r="E21" t="n">
        <v>856</v>
      </c>
      <c r="F21" t="n">
        <v>13522</v>
      </c>
      <c r="G21" t="n">
        <v>14.6</v>
      </c>
      <c r="H21" t="n">
        <v>1.65</v>
      </c>
    </row>
    <row r="22">
      <c r="A22" t="inlineStr">
        <is>
          <t>Douglas</t>
        </is>
      </c>
      <c r="B22">
        <f>Inputs_State!$B$1</f>
        <v/>
      </c>
      <c r="C22" t="n">
        <v>30.3</v>
      </c>
      <c r="D22" t="n">
        <v>0.4</v>
      </c>
      <c r="E22" t="n">
        <v>3929</v>
      </c>
      <c r="F22" t="n">
        <v>23716</v>
      </c>
      <c r="G22" t="n">
        <v>30.4</v>
      </c>
      <c r="H22" t="n">
        <v>1.715</v>
      </c>
    </row>
    <row r="23">
      <c r="A23" t="inlineStr">
        <is>
          <t>Faribault</t>
        </is>
      </c>
      <c r="B23">
        <f>Inputs_State!$B$1</f>
        <v/>
      </c>
      <c r="C23" t="n">
        <v>4.2</v>
      </c>
      <c r="D23" t="n">
        <v>0.3</v>
      </c>
      <c r="E23" t="n">
        <v>97</v>
      </c>
      <c r="F23" t="n">
        <v>4696</v>
      </c>
      <c r="G23" t="n">
        <v>5.5</v>
      </c>
      <c r="H23" t="n">
        <v>1.708</v>
      </c>
    </row>
    <row r="24">
      <c r="A24" t="inlineStr">
        <is>
          <t>Fillmore</t>
        </is>
      </c>
      <c r="B24">
        <f>Inputs_State!$B$1</f>
        <v/>
      </c>
      <c r="C24" t="n">
        <v>13.7</v>
      </c>
      <c r="D24" t="n">
        <v>0.3</v>
      </c>
      <c r="E24" t="n">
        <v>4168</v>
      </c>
      <c r="F24" t="n">
        <v>10834</v>
      </c>
      <c r="G24" t="n">
        <v>13.6</v>
      </c>
      <c r="H24" t="n">
        <v>1.629</v>
      </c>
    </row>
    <row r="25">
      <c r="A25" t="inlineStr">
        <is>
          <t>Freeborn</t>
        </is>
      </c>
      <c r="B25">
        <f>Inputs_State!$B$1</f>
        <v/>
      </c>
      <c r="C25" t="n">
        <v>12.4</v>
      </c>
      <c r="D25" t="n">
        <v>0.3</v>
      </c>
      <c r="E25" t="n">
        <v>4327</v>
      </c>
      <c r="F25" t="n">
        <v>10630</v>
      </c>
      <c r="G25" t="n">
        <v>12.6</v>
      </c>
      <c r="H25" t="n">
        <v>1.668</v>
      </c>
    </row>
    <row r="26">
      <c r="A26" t="inlineStr">
        <is>
          <t>Goodhue</t>
        </is>
      </c>
      <c r="B26">
        <f>Inputs_State!$B$1</f>
        <v/>
      </c>
      <c r="C26" t="n">
        <v>23.5</v>
      </c>
      <c r="D26" t="n">
        <v>0.4</v>
      </c>
      <c r="E26" t="n">
        <v>2930</v>
      </c>
      <c r="F26" t="n">
        <v>20210</v>
      </c>
      <c r="G26" t="n">
        <v>24.4</v>
      </c>
      <c r="H26" t="n">
        <v>1.698</v>
      </c>
    </row>
    <row r="27">
      <c r="A27" t="inlineStr">
        <is>
          <t>Grant</t>
        </is>
      </c>
      <c r="B27">
        <f>Inputs_State!$B$1</f>
        <v/>
      </c>
      <c r="C27" t="n">
        <v>14.9</v>
      </c>
      <c r="D27" t="n">
        <v>0.3</v>
      </c>
      <c r="E27" t="n">
        <v>1339</v>
      </c>
      <c r="F27" t="n">
        <v>12136</v>
      </c>
      <c r="G27" t="n">
        <v>15</v>
      </c>
      <c r="H27" t="n">
        <v>1.664</v>
      </c>
    </row>
    <row r="28">
      <c r="A28" t="inlineStr">
        <is>
          <t>Hennepin</t>
        </is>
      </c>
      <c r="B28">
        <f>Inputs_State!$B$1</f>
        <v/>
      </c>
      <c r="C28" t="n">
        <v>46.8</v>
      </c>
      <c r="D28" t="n">
        <v>0.5</v>
      </c>
      <c r="E28" t="n">
        <v>11814</v>
      </c>
      <c r="F28" t="n">
        <v>36425</v>
      </c>
      <c r="G28" t="n">
        <v>45.7</v>
      </c>
      <c r="H28" t="n">
        <v>1.696</v>
      </c>
    </row>
    <row r="29">
      <c r="A29" t="inlineStr">
        <is>
          <t>Houston</t>
        </is>
      </c>
      <c r="B29">
        <f>Inputs_State!$B$1</f>
        <v/>
      </c>
      <c r="C29" t="n">
        <v>6.5</v>
      </c>
      <c r="D29" t="n">
        <v>0.3</v>
      </c>
      <c r="E29" t="n">
        <v>1739</v>
      </c>
      <c r="F29" t="n">
        <v>4018</v>
      </c>
      <c r="G29" t="n">
        <v>4.8</v>
      </c>
      <c r="H29" t="n">
        <v>1.706</v>
      </c>
    </row>
    <row r="30">
      <c r="A30" t="inlineStr">
        <is>
          <t>Hubbard</t>
        </is>
      </c>
      <c r="B30">
        <f>Inputs_State!$B$1</f>
        <v/>
      </c>
      <c r="C30" t="n">
        <v>6.4</v>
      </c>
      <c r="D30" t="n">
        <v>0.3</v>
      </c>
      <c r="E30" t="n">
        <v>2009</v>
      </c>
      <c r="F30" t="n">
        <v>5986</v>
      </c>
      <c r="G30" t="n">
        <v>6.7</v>
      </c>
      <c r="H30" t="n">
        <v>1.714</v>
      </c>
    </row>
    <row r="31">
      <c r="A31" t="inlineStr">
        <is>
          <t>Isanti</t>
        </is>
      </c>
      <c r="B31">
        <f>Inputs_State!$B$1</f>
        <v/>
      </c>
      <c r="C31" t="n">
        <v>12.9</v>
      </c>
      <c r="D31" t="n">
        <v>0.3</v>
      </c>
      <c r="E31" t="n">
        <v>2410</v>
      </c>
      <c r="F31" t="n">
        <v>11109</v>
      </c>
      <c r="G31" t="n">
        <v>12.6</v>
      </c>
      <c r="H31" t="n">
        <v>1.63</v>
      </c>
    </row>
    <row r="32">
      <c r="A32" t="inlineStr">
        <is>
          <t>Itasca</t>
        </is>
      </c>
      <c r="B32">
        <f>Inputs_State!$B$1</f>
        <v/>
      </c>
      <c r="C32" t="n">
        <v>12</v>
      </c>
      <c r="D32" t="n">
        <v>0.3</v>
      </c>
      <c r="E32" t="n">
        <v>1629</v>
      </c>
      <c r="F32" t="n">
        <v>9117</v>
      </c>
      <c r="G32" t="n">
        <v>10.4</v>
      </c>
      <c r="H32" t="n">
        <v>1.718</v>
      </c>
    </row>
    <row r="33">
      <c r="A33" t="inlineStr">
        <is>
          <t>Jackson</t>
        </is>
      </c>
      <c r="B33">
        <f>Inputs_State!$B$1</f>
        <v/>
      </c>
      <c r="C33" t="n">
        <v>13.5</v>
      </c>
      <c r="D33" t="n">
        <v>0.3</v>
      </c>
      <c r="E33" t="n">
        <v>1504</v>
      </c>
      <c r="F33" t="n">
        <v>11721</v>
      </c>
      <c r="G33" t="n">
        <v>13.3</v>
      </c>
      <c r="H33" t="n">
        <v>1.639</v>
      </c>
    </row>
    <row r="34">
      <c r="A34" t="inlineStr">
        <is>
          <t>Kanabec</t>
        </is>
      </c>
      <c r="B34">
        <f>Inputs_State!$B$1</f>
        <v/>
      </c>
      <c r="C34" t="n">
        <v>6.7</v>
      </c>
      <c r="D34" t="n">
        <v>0.3</v>
      </c>
      <c r="E34" t="n">
        <v>136</v>
      </c>
      <c r="F34" t="n">
        <v>7388</v>
      </c>
      <c r="G34" t="n">
        <v>8.1</v>
      </c>
      <c r="H34" t="n">
        <v>1.664</v>
      </c>
    </row>
    <row r="35">
      <c r="A35" t="inlineStr">
        <is>
          <t>Kandiyohi</t>
        </is>
      </c>
      <c r="B35">
        <f>Inputs_State!$B$1</f>
        <v/>
      </c>
      <c r="C35" t="n">
        <v>15</v>
      </c>
      <c r="D35" t="n">
        <v>0.3</v>
      </c>
      <c r="E35" t="n">
        <v>998</v>
      </c>
      <c r="F35" t="n">
        <v>16428</v>
      </c>
      <c r="G35" t="n">
        <v>16.7</v>
      </c>
      <c r="H35" t="n">
        <v>1.717</v>
      </c>
    </row>
    <row r="36">
      <c r="A36" t="inlineStr">
        <is>
          <t>Kittson</t>
        </is>
      </c>
      <c r="B36">
        <f>Inputs_State!$B$1</f>
        <v/>
      </c>
      <c r="C36" t="n">
        <v>9.300000000000001</v>
      </c>
      <c r="D36" t="n">
        <v>0.3</v>
      </c>
      <c r="E36" t="n">
        <v>3665</v>
      </c>
      <c r="F36" t="n">
        <v>6532</v>
      </c>
      <c r="G36" t="n">
        <v>7.5</v>
      </c>
      <c r="H36" t="n">
        <v>1.66</v>
      </c>
    </row>
    <row r="37">
      <c r="A37" t="inlineStr">
        <is>
          <t>Koochiching</t>
        </is>
      </c>
      <c r="B37">
        <f>Inputs_State!$B$1</f>
        <v/>
      </c>
      <c r="C37" t="n">
        <v>6.9</v>
      </c>
      <c r="D37" t="n">
        <v>0.3</v>
      </c>
      <c r="E37" t="n">
        <v>2747</v>
      </c>
      <c r="F37" t="n">
        <v>6664</v>
      </c>
      <c r="G37" t="n">
        <v>6.6</v>
      </c>
      <c r="H37" t="n">
        <v>1.666</v>
      </c>
    </row>
    <row r="38">
      <c r="A38" t="inlineStr">
        <is>
          <t>Lac qui Parle</t>
        </is>
      </c>
      <c r="B38">
        <f>Inputs_State!$B$1</f>
        <v/>
      </c>
      <c r="C38" t="n">
        <v>10.1</v>
      </c>
      <c r="D38" t="n">
        <v>0.3</v>
      </c>
      <c r="E38" t="n">
        <v>2340</v>
      </c>
      <c r="F38" t="n">
        <v>9416</v>
      </c>
      <c r="G38" t="n">
        <v>9.300000000000001</v>
      </c>
      <c r="H38" t="n">
        <v>1.635</v>
      </c>
    </row>
    <row r="39">
      <c r="A39" t="inlineStr">
        <is>
          <t>Lake</t>
        </is>
      </c>
      <c r="B39">
        <f>Inputs_State!$B$1</f>
        <v/>
      </c>
      <c r="C39" t="n">
        <v>10</v>
      </c>
      <c r="D39" t="n">
        <v>0.3</v>
      </c>
      <c r="E39" t="n">
        <v>3411</v>
      </c>
      <c r="F39" t="n">
        <v>9277</v>
      </c>
      <c r="G39" t="n">
        <v>10.3</v>
      </c>
      <c r="H39" t="n">
        <v>1.626</v>
      </c>
    </row>
    <row r="40">
      <c r="A40" t="inlineStr">
        <is>
          <t>Lake of the Woods</t>
        </is>
      </c>
      <c r="B40">
        <f>Inputs_State!$B$1</f>
        <v/>
      </c>
      <c r="C40" t="n">
        <v>5.7</v>
      </c>
      <c r="D40" t="n">
        <v>0.3</v>
      </c>
      <c r="E40" t="n">
        <v>1539</v>
      </c>
      <c r="F40" t="n">
        <v>4060</v>
      </c>
      <c r="G40" t="n">
        <v>4.4</v>
      </c>
      <c r="H40" t="n">
        <v>1.628</v>
      </c>
    </row>
    <row r="41">
      <c r="A41" t="inlineStr">
        <is>
          <t>Le Sueur</t>
        </is>
      </c>
      <c r="B41">
        <f>Inputs_State!$B$1</f>
        <v/>
      </c>
      <c r="C41" t="n">
        <v>6.6</v>
      </c>
      <c r="D41" t="n">
        <v>0.3</v>
      </c>
      <c r="E41" t="n">
        <v>1635</v>
      </c>
      <c r="F41" t="n">
        <v>5167</v>
      </c>
      <c r="G41" t="n">
        <v>5.6</v>
      </c>
      <c r="H41" t="n">
        <v>1.709</v>
      </c>
    </row>
    <row r="42">
      <c r="A42" t="inlineStr">
        <is>
          <t>Lincoln</t>
        </is>
      </c>
      <c r="B42">
        <f>Inputs_State!$B$1</f>
        <v/>
      </c>
      <c r="C42" t="n">
        <v>8.6</v>
      </c>
      <c r="D42" t="n">
        <v>0.3</v>
      </c>
      <c r="E42" t="n">
        <v>2464</v>
      </c>
      <c r="F42" t="n">
        <v>8539</v>
      </c>
      <c r="G42" t="n">
        <v>10.3</v>
      </c>
      <c r="H42" t="n">
        <v>1.672</v>
      </c>
    </row>
    <row r="43">
      <c r="A43" t="inlineStr">
        <is>
          <t>Lyon</t>
        </is>
      </c>
      <c r="B43">
        <f>Inputs_State!$B$1</f>
        <v/>
      </c>
      <c r="C43" t="n">
        <v>6.6</v>
      </c>
      <c r="D43" t="n">
        <v>0.3</v>
      </c>
      <c r="E43" t="n">
        <v>1985</v>
      </c>
      <c r="F43" t="n">
        <v>4964</v>
      </c>
      <c r="G43" t="n">
        <v>5.8</v>
      </c>
      <c r="H43" t="n">
        <v>1.687</v>
      </c>
    </row>
    <row r="44">
      <c r="A44" t="inlineStr">
        <is>
          <t>McLeod</t>
        </is>
      </c>
      <c r="B44">
        <f>Inputs_State!$B$1</f>
        <v/>
      </c>
      <c r="C44" t="n">
        <v>4.8</v>
      </c>
      <c r="D44" t="n">
        <v>0.3</v>
      </c>
      <c r="E44" t="n">
        <v>409</v>
      </c>
      <c r="F44" t="n">
        <v>5424</v>
      </c>
      <c r="G44" t="n">
        <v>6.8</v>
      </c>
      <c r="H44" t="n">
        <v>1.72</v>
      </c>
    </row>
    <row r="45">
      <c r="A45" t="inlineStr">
        <is>
          <t>Mahnomen</t>
        </is>
      </c>
      <c r="B45">
        <f>Inputs_State!$B$1</f>
        <v/>
      </c>
      <c r="C45" t="n">
        <v>6.9</v>
      </c>
      <c r="D45" t="n">
        <v>0.3</v>
      </c>
      <c r="E45" t="n">
        <v>435</v>
      </c>
      <c r="F45" t="n">
        <v>7297</v>
      </c>
      <c r="G45" t="n">
        <v>8.4</v>
      </c>
      <c r="H45" t="n">
        <v>1.708</v>
      </c>
    </row>
    <row r="46">
      <c r="A46" t="inlineStr">
        <is>
          <t>Marshall</t>
        </is>
      </c>
      <c r="B46">
        <f>Inputs_State!$B$1</f>
        <v/>
      </c>
      <c r="C46" t="n">
        <v>13.2</v>
      </c>
      <c r="D46" t="n">
        <v>0.3</v>
      </c>
      <c r="E46" t="n">
        <v>41</v>
      </c>
      <c r="F46" t="n">
        <v>14148</v>
      </c>
      <c r="G46" t="n">
        <v>15.1</v>
      </c>
      <c r="H46" t="n">
        <v>1.681</v>
      </c>
    </row>
    <row r="47">
      <c r="A47" t="inlineStr">
        <is>
          <t>Martin</t>
        </is>
      </c>
      <c r="B47">
        <f>Inputs_State!$B$1</f>
        <v/>
      </c>
      <c r="C47" t="n">
        <v>13</v>
      </c>
      <c r="D47" t="n">
        <v>0.3</v>
      </c>
      <c r="E47" t="n">
        <v>600</v>
      </c>
      <c r="F47" t="n">
        <v>12021</v>
      </c>
      <c r="G47" t="n">
        <v>14.8</v>
      </c>
      <c r="H47" t="n">
        <v>1.686</v>
      </c>
    </row>
    <row r="48">
      <c r="A48" t="inlineStr">
        <is>
          <t>Meeker</t>
        </is>
      </c>
      <c r="B48">
        <f>Inputs_State!$B$1</f>
        <v/>
      </c>
      <c r="C48" t="n">
        <v>5.2</v>
      </c>
      <c r="D48" t="n">
        <v>0.3</v>
      </c>
      <c r="E48" t="n">
        <v>423</v>
      </c>
      <c r="F48" t="n">
        <v>5332</v>
      </c>
      <c r="G48" t="n">
        <v>5.6</v>
      </c>
      <c r="H48" t="n">
        <v>1.647</v>
      </c>
    </row>
    <row r="49">
      <c r="A49" t="inlineStr">
        <is>
          <t>Mille Lacs</t>
        </is>
      </c>
      <c r="B49">
        <f>Inputs_State!$B$1</f>
        <v/>
      </c>
      <c r="C49" t="n">
        <v>11</v>
      </c>
      <c r="D49" t="n">
        <v>0.3</v>
      </c>
      <c r="E49" t="n">
        <v>406</v>
      </c>
      <c r="F49" t="n">
        <v>12387</v>
      </c>
      <c r="G49" t="n">
        <v>12.6</v>
      </c>
      <c r="H49" t="n">
        <v>1.669</v>
      </c>
    </row>
    <row r="50">
      <c r="A50" t="inlineStr">
        <is>
          <t>Morrison</t>
        </is>
      </c>
      <c r="B50">
        <f>Inputs_State!$B$1</f>
        <v/>
      </c>
      <c r="C50" t="n">
        <v>8.699999999999999</v>
      </c>
      <c r="D50" t="n">
        <v>0.3</v>
      </c>
      <c r="E50" t="n">
        <v>912</v>
      </c>
      <c r="F50" t="n">
        <v>9142</v>
      </c>
      <c r="G50" t="n">
        <v>9.800000000000001</v>
      </c>
      <c r="H50" t="n">
        <v>1.62</v>
      </c>
    </row>
    <row r="51">
      <c r="A51" t="inlineStr">
        <is>
          <t>Mower</t>
        </is>
      </c>
      <c r="B51">
        <f>Inputs_State!$B$1</f>
        <v/>
      </c>
      <c r="C51" t="n">
        <v>29.8</v>
      </c>
      <c r="D51" t="n">
        <v>0.4</v>
      </c>
      <c r="E51" t="n">
        <v>10527</v>
      </c>
      <c r="F51" t="n">
        <v>22186</v>
      </c>
      <c r="G51" t="n">
        <v>27.8</v>
      </c>
      <c r="H51" t="n">
        <v>1.69</v>
      </c>
    </row>
    <row r="52">
      <c r="A52" t="inlineStr">
        <is>
          <t>Murray</t>
        </is>
      </c>
      <c r="B52">
        <f>Inputs_State!$B$1</f>
        <v/>
      </c>
      <c r="C52" t="n">
        <v>13.9</v>
      </c>
      <c r="D52" t="n">
        <v>0.3</v>
      </c>
      <c r="E52" t="n">
        <v>709</v>
      </c>
      <c r="F52" t="n">
        <v>11581</v>
      </c>
      <c r="G52" t="n">
        <v>14.2</v>
      </c>
      <c r="H52" t="n">
        <v>1.703</v>
      </c>
    </row>
    <row r="53">
      <c r="A53" t="inlineStr">
        <is>
          <t>Nicollet</t>
        </is>
      </c>
      <c r="B53">
        <f>Inputs_State!$B$1</f>
        <v/>
      </c>
      <c r="C53" t="n">
        <v>7.4</v>
      </c>
      <c r="D53" t="n">
        <v>0.3</v>
      </c>
      <c r="E53" t="n">
        <v>622</v>
      </c>
      <c r="F53" t="n">
        <v>8763</v>
      </c>
      <c r="G53" t="n">
        <v>8.800000000000001</v>
      </c>
      <c r="H53" t="n">
        <v>1.7</v>
      </c>
    </row>
    <row r="54">
      <c r="A54" t="inlineStr">
        <is>
          <t>Nobles</t>
        </is>
      </c>
      <c r="B54">
        <f>Inputs_State!$B$1</f>
        <v/>
      </c>
      <c r="C54" t="n">
        <v>6.7</v>
      </c>
      <c r="D54" t="n">
        <v>0.3</v>
      </c>
      <c r="E54" t="n">
        <v>1663</v>
      </c>
      <c r="F54" t="n">
        <v>7196</v>
      </c>
      <c r="G54" t="n">
        <v>8.199999999999999</v>
      </c>
      <c r="H54" t="n">
        <v>1.698</v>
      </c>
    </row>
    <row r="55">
      <c r="A55" t="inlineStr">
        <is>
          <t>Norman</t>
        </is>
      </c>
      <c r="B55">
        <f>Inputs_State!$B$1</f>
        <v/>
      </c>
      <c r="C55" t="n">
        <v>5.7</v>
      </c>
      <c r="D55" t="n">
        <v>0.3</v>
      </c>
      <c r="E55" t="n">
        <v>2010</v>
      </c>
      <c r="F55" t="n">
        <v>7407</v>
      </c>
      <c r="G55" t="n">
        <v>7.6</v>
      </c>
      <c r="H55" t="n">
        <v>1.706</v>
      </c>
    </row>
    <row r="56">
      <c r="A56" t="inlineStr">
        <is>
          <t>Olmsted</t>
        </is>
      </c>
      <c r="B56">
        <f>Inputs_State!$B$1</f>
        <v/>
      </c>
      <c r="C56" t="n">
        <v>35.9</v>
      </c>
      <c r="D56" t="n">
        <v>0.4</v>
      </c>
      <c r="E56" t="n">
        <v>12408</v>
      </c>
      <c r="F56" t="n">
        <v>36567</v>
      </c>
      <c r="G56" t="n">
        <v>37.6</v>
      </c>
      <c r="H56" t="n">
        <v>1.703</v>
      </c>
    </row>
    <row r="57">
      <c r="A57" t="inlineStr">
        <is>
          <t>Otter Tail</t>
        </is>
      </c>
      <c r="B57">
        <f>Inputs_State!$B$1</f>
        <v/>
      </c>
      <c r="C57" t="n">
        <v>31.2</v>
      </c>
      <c r="D57" t="n">
        <v>0.4</v>
      </c>
      <c r="E57" t="n">
        <v>10715</v>
      </c>
      <c r="F57" t="n">
        <v>29284</v>
      </c>
      <c r="G57" t="n">
        <v>29.6</v>
      </c>
      <c r="H57" t="n">
        <v>1.715</v>
      </c>
    </row>
    <row r="58">
      <c r="A58" t="inlineStr">
        <is>
          <t>Pennington</t>
        </is>
      </c>
      <c r="B58">
        <f>Inputs_State!$B$1</f>
        <v/>
      </c>
      <c r="C58" t="n">
        <v>6.4</v>
      </c>
      <c r="D58" t="n">
        <v>0.3</v>
      </c>
      <c r="E58" t="n">
        <v>583</v>
      </c>
      <c r="F58" t="n">
        <v>5437</v>
      </c>
      <c r="G58" t="n">
        <v>5.6</v>
      </c>
      <c r="H58" t="n">
        <v>1.666</v>
      </c>
    </row>
    <row r="59">
      <c r="A59" t="inlineStr">
        <is>
          <t>Pine</t>
        </is>
      </c>
      <c r="B59">
        <f>Inputs_State!$B$1</f>
        <v/>
      </c>
      <c r="C59" t="n">
        <v>4.3</v>
      </c>
      <c r="D59" t="n">
        <v>0.3</v>
      </c>
      <c r="E59" t="n">
        <v>480</v>
      </c>
      <c r="F59" t="n">
        <v>5870</v>
      </c>
      <c r="G59" t="n">
        <v>5.8</v>
      </c>
      <c r="H59" t="n">
        <v>1.653</v>
      </c>
    </row>
    <row r="60">
      <c r="A60" t="inlineStr">
        <is>
          <t>Pipestone</t>
        </is>
      </c>
      <c r="B60">
        <f>Inputs_State!$B$1</f>
        <v/>
      </c>
      <c r="C60" t="n">
        <v>11.1</v>
      </c>
      <c r="D60" t="n">
        <v>0.3</v>
      </c>
      <c r="E60" t="n">
        <v>512</v>
      </c>
      <c r="F60" t="n">
        <v>11261</v>
      </c>
      <c r="G60" t="n">
        <v>11.2</v>
      </c>
      <c r="H60" t="n">
        <v>1.718</v>
      </c>
    </row>
    <row r="61">
      <c r="A61" t="inlineStr">
        <is>
          <t>Polk</t>
        </is>
      </c>
      <c r="B61">
        <f>Inputs_State!$B$1</f>
        <v/>
      </c>
      <c r="C61" t="n">
        <v>14.7</v>
      </c>
      <c r="D61" t="n">
        <v>0.3</v>
      </c>
      <c r="E61" t="n">
        <v>2555</v>
      </c>
      <c r="F61" t="n">
        <v>11123</v>
      </c>
      <c r="G61" t="n">
        <v>13.8</v>
      </c>
      <c r="H61" t="n">
        <v>1.716</v>
      </c>
    </row>
    <row r="62">
      <c r="A62" t="inlineStr">
        <is>
          <t>Pope</t>
        </is>
      </c>
      <c r="B62">
        <f>Inputs_State!$B$1</f>
        <v/>
      </c>
      <c r="C62" t="n">
        <v>12</v>
      </c>
      <c r="D62" t="n">
        <v>0.3</v>
      </c>
      <c r="E62" t="n">
        <v>2768</v>
      </c>
      <c r="F62" t="n">
        <v>10469</v>
      </c>
      <c r="G62" t="n">
        <v>12</v>
      </c>
      <c r="H62" t="n">
        <v>1.681</v>
      </c>
    </row>
    <row r="63">
      <c r="A63" t="inlineStr">
        <is>
          <t>Ramsey</t>
        </is>
      </c>
      <c r="B63">
        <f>Inputs_State!$B$1</f>
        <v/>
      </c>
      <c r="C63" t="n">
        <v>43.9</v>
      </c>
      <c r="D63" t="n">
        <v>0.5</v>
      </c>
      <c r="E63" t="n">
        <v>12633</v>
      </c>
      <c r="F63" t="n">
        <v>41461</v>
      </c>
      <c r="G63" t="n">
        <v>45.6</v>
      </c>
      <c r="H63" t="n">
        <v>1.68</v>
      </c>
    </row>
    <row r="64">
      <c r="A64" t="inlineStr">
        <is>
          <t>Red Lake</t>
        </is>
      </c>
      <c r="B64">
        <f>Inputs_State!$B$1</f>
        <v/>
      </c>
      <c r="C64" t="n">
        <v>12.2</v>
      </c>
      <c r="D64" t="n">
        <v>0.3</v>
      </c>
      <c r="E64" t="n">
        <v>1611</v>
      </c>
      <c r="F64" t="n">
        <v>9864</v>
      </c>
      <c r="G64" t="n">
        <v>10.5</v>
      </c>
      <c r="H64" t="n">
        <v>1.656</v>
      </c>
    </row>
    <row r="65">
      <c r="A65" t="inlineStr">
        <is>
          <t>Redwood</t>
        </is>
      </c>
      <c r="B65">
        <f>Inputs_State!$B$1</f>
        <v/>
      </c>
      <c r="C65" t="n">
        <v>7.5</v>
      </c>
      <c r="D65" t="n">
        <v>0.3</v>
      </c>
      <c r="E65" t="n">
        <v>1225</v>
      </c>
      <c r="F65" t="n">
        <v>5723</v>
      </c>
      <c r="G65" t="n">
        <v>6.7</v>
      </c>
      <c r="H65" t="n">
        <v>1.692</v>
      </c>
    </row>
    <row r="66">
      <c r="A66" t="inlineStr">
        <is>
          <t>Renville</t>
        </is>
      </c>
      <c r="B66">
        <f>Inputs_State!$B$1</f>
        <v/>
      </c>
      <c r="C66" t="n">
        <v>8.4</v>
      </c>
      <c r="D66" t="n">
        <v>0.3</v>
      </c>
      <c r="E66" t="n">
        <v>2276</v>
      </c>
      <c r="F66" t="n">
        <v>8146</v>
      </c>
      <c r="G66" t="n">
        <v>8.1</v>
      </c>
      <c r="H66" t="n">
        <v>1.633</v>
      </c>
    </row>
    <row r="67">
      <c r="A67" t="inlineStr">
        <is>
          <t>Rice</t>
        </is>
      </c>
      <c r="B67">
        <f>Inputs_State!$B$1</f>
        <v/>
      </c>
      <c r="C67" t="n">
        <v>33.1</v>
      </c>
      <c r="D67" t="n">
        <v>0.4</v>
      </c>
      <c r="E67" t="n">
        <v>3799</v>
      </c>
      <c r="F67" t="n">
        <v>25977</v>
      </c>
      <c r="G67" t="n">
        <v>33.3</v>
      </c>
      <c r="H67" t="n">
        <v>1.681</v>
      </c>
    </row>
    <row r="68">
      <c r="A68" t="inlineStr">
        <is>
          <t>Rock</t>
        </is>
      </c>
      <c r="B68">
        <f>Inputs_State!$B$1</f>
        <v/>
      </c>
      <c r="C68" t="n">
        <v>8.699999999999999</v>
      </c>
      <c r="D68" t="n">
        <v>0.3</v>
      </c>
      <c r="E68" t="n">
        <v>744</v>
      </c>
      <c r="F68" t="n">
        <v>7621</v>
      </c>
      <c r="G68" t="n">
        <v>8.6</v>
      </c>
      <c r="H68" t="n">
        <v>1.685</v>
      </c>
    </row>
    <row r="69">
      <c r="A69" t="inlineStr">
        <is>
          <t>Roseau</t>
        </is>
      </c>
      <c r="B69">
        <f>Inputs_State!$B$1</f>
        <v/>
      </c>
      <c r="C69" t="n">
        <v>9.199999999999999</v>
      </c>
      <c r="D69" t="n">
        <v>0.3</v>
      </c>
      <c r="E69" t="n">
        <v>1897</v>
      </c>
      <c r="F69" t="n">
        <v>6323</v>
      </c>
      <c r="G69" t="n">
        <v>7.9</v>
      </c>
      <c r="H69" t="n">
        <v>1.7</v>
      </c>
    </row>
    <row r="70">
      <c r="A70" t="inlineStr">
        <is>
          <t>St. Louis</t>
        </is>
      </c>
      <c r="B70">
        <f>Inputs_State!$B$1</f>
        <v/>
      </c>
      <c r="C70" t="n">
        <v>57.2</v>
      </c>
      <c r="D70" t="n">
        <v>0.5</v>
      </c>
      <c r="E70" t="n">
        <v>5140</v>
      </c>
      <c r="F70" t="n">
        <v>54794</v>
      </c>
      <c r="G70" t="n">
        <v>58.2</v>
      </c>
      <c r="H70" t="n">
        <v>1.737</v>
      </c>
    </row>
    <row r="71">
      <c r="A71" t="inlineStr">
        <is>
          <t>Scott</t>
        </is>
      </c>
      <c r="B71">
        <f>Inputs_State!$B$1</f>
        <v/>
      </c>
      <c r="C71" t="n">
        <v>42</v>
      </c>
      <c r="D71" t="n">
        <v>0.5</v>
      </c>
      <c r="E71" t="n">
        <v>1224</v>
      </c>
      <c r="F71" t="n">
        <v>41227</v>
      </c>
      <c r="G71" t="n">
        <v>41.9</v>
      </c>
      <c r="H71" t="n">
        <v>1.697</v>
      </c>
    </row>
    <row r="72">
      <c r="A72" t="inlineStr">
        <is>
          <t>Sherburne</t>
        </is>
      </c>
      <c r="B72">
        <f>Inputs_State!$B$1</f>
        <v/>
      </c>
      <c r="C72" t="n">
        <v>23.3</v>
      </c>
      <c r="D72" t="n">
        <v>0.4</v>
      </c>
      <c r="E72" t="n">
        <v>2274</v>
      </c>
      <c r="F72" t="n">
        <v>21657</v>
      </c>
      <c r="G72" t="n">
        <v>24.1</v>
      </c>
      <c r="H72" t="n">
        <v>1.674</v>
      </c>
    </row>
    <row r="73">
      <c r="A73" t="inlineStr">
        <is>
          <t>Sibley</t>
        </is>
      </c>
      <c r="B73">
        <f>Inputs_State!$B$1</f>
        <v/>
      </c>
      <c r="C73" t="n">
        <v>11.2</v>
      </c>
      <c r="D73" t="n">
        <v>0.3</v>
      </c>
      <c r="E73" t="n">
        <v>1905</v>
      </c>
      <c r="F73" t="n">
        <v>9909</v>
      </c>
      <c r="G73" t="n">
        <v>12.3</v>
      </c>
      <c r="H73" t="n">
        <v>1.695</v>
      </c>
    </row>
    <row r="74">
      <c r="A74" t="inlineStr">
        <is>
          <t>Stearns</t>
        </is>
      </c>
      <c r="B74">
        <f>Inputs_State!$B$1</f>
        <v/>
      </c>
      <c r="C74" t="n">
        <v>41.2</v>
      </c>
      <c r="D74" t="n">
        <v>0.5</v>
      </c>
      <c r="E74" t="n">
        <v>13981</v>
      </c>
      <c r="F74" t="n">
        <v>33088</v>
      </c>
      <c r="G74" t="n">
        <v>39.4</v>
      </c>
      <c r="H74" t="n">
        <v>1.716</v>
      </c>
    </row>
    <row r="75">
      <c r="A75" t="inlineStr">
        <is>
          <t>Steele</t>
        </is>
      </c>
      <c r="B75">
        <f>Inputs_State!$B$1</f>
        <v/>
      </c>
      <c r="C75" t="n">
        <v>9</v>
      </c>
      <c r="D75" t="n">
        <v>0.3</v>
      </c>
      <c r="E75" t="n">
        <v>3420</v>
      </c>
      <c r="F75" t="n">
        <v>10152</v>
      </c>
      <c r="G75" t="n">
        <v>11</v>
      </c>
      <c r="H75" t="n">
        <v>1.687</v>
      </c>
    </row>
    <row r="76">
      <c r="A76" t="inlineStr">
        <is>
          <t>Stevens</t>
        </is>
      </c>
      <c r="B76">
        <f>Inputs_State!$B$1</f>
        <v/>
      </c>
      <c r="C76" t="n">
        <v>13.8</v>
      </c>
      <c r="D76" t="n">
        <v>0.3</v>
      </c>
      <c r="E76" t="n">
        <v>3024</v>
      </c>
      <c r="F76" t="n">
        <v>13515</v>
      </c>
      <c r="G76" t="n">
        <v>13.8</v>
      </c>
      <c r="H76" t="n">
        <v>1.692</v>
      </c>
    </row>
    <row r="77">
      <c r="A77" t="inlineStr">
        <is>
          <t>Swift</t>
        </is>
      </c>
      <c r="B77">
        <f>Inputs_State!$B$1</f>
        <v/>
      </c>
      <c r="C77" t="n">
        <v>13.9</v>
      </c>
      <c r="D77" t="n">
        <v>0.3</v>
      </c>
      <c r="E77" t="n">
        <v>3545</v>
      </c>
      <c r="F77" t="n">
        <v>10827</v>
      </c>
      <c r="G77" t="n">
        <v>12.9</v>
      </c>
      <c r="H77" t="n">
        <v>1.667</v>
      </c>
    </row>
    <row r="78">
      <c r="A78" t="inlineStr">
        <is>
          <t>Todd</t>
        </is>
      </c>
      <c r="B78">
        <f>Inputs_State!$B$1</f>
        <v/>
      </c>
      <c r="C78" t="n">
        <v>12.4</v>
      </c>
      <c r="D78" t="n">
        <v>0.3</v>
      </c>
      <c r="E78" t="n">
        <v>1417</v>
      </c>
      <c r="F78" t="n">
        <v>9184</v>
      </c>
      <c r="G78" t="n">
        <v>11.5</v>
      </c>
      <c r="H78" t="n">
        <v>1.683</v>
      </c>
    </row>
    <row r="79">
      <c r="A79" t="inlineStr">
        <is>
          <t>Traverse</t>
        </is>
      </c>
      <c r="B79">
        <f>Inputs_State!$B$1</f>
        <v/>
      </c>
      <c r="C79" t="n">
        <v>7</v>
      </c>
      <c r="D79" t="n">
        <v>0.3</v>
      </c>
      <c r="E79" t="n">
        <v>1943</v>
      </c>
      <c r="F79" t="n">
        <v>4679</v>
      </c>
      <c r="G79" t="n">
        <v>5.6</v>
      </c>
      <c r="H79" t="n">
        <v>1.674</v>
      </c>
    </row>
    <row r="80">
      <c r="A80" t="inlineStr">
        <is>
          <t>Wabasha</t>
        </is>
      </c>
      <c r="B80">
        <f>Inputs_State!$B$1</f>
        <v/>
      </c>
      <c r="C80" t="n">
        <v>11.8</v>
      </c>
      <c r="D80" t="n">
        <v>0.3</v>
      </c>
      <c r="E80" t="n">
        <v>976</v>
      </c>
      <c r="F80" t="n">
        <v>10557</v>
      </c>
      <c r="G80" t="n">
        <v>12</v>
      </c>
      <c r="H80" t="n">
        <v>1.661</v>
      </c>
    </row>
    <row r="81">
      <c r="A81" t="inlineStr">
        <is>
          <t>Wadena</t>
        </is>
      </c>
      <c r="B81">
        <f>Inputs_State!$B$1</f>
        <v/>
      </c>
      <c r="C81" t="n">
        <v>8.6</v>
      </c>
      <c r="D81" t="n">
        <v>0.3</v>
      </c>
      <c r="E81" t="n">
        <v>2634</v>
      </c>
      <c r="F81" t="n">
        <v>9265</v>
      </c>
      <c r="G81" t="n">
        <v>9.4</v>
      </c>
      <c r="H81" t="n">
        <v>1.678</v>
      </c>
    </row>
    <row r="82">
      <c r="A82" t="inlineStr">
        <is>
          <t>Washington</t>
        </is>
      </c>
      <c r="B82">
        <f>Inputs_State!$B$1</f>
        <v/>
      </c>
      <c r="C82" t="n">
        <v>48.3</v>
      </c>
      <c r="D82" t="n">
        <v>0.5</v>
      </c>
      <c r="E82" t="n">
        <v>18420</v>
      </c>
      <c r="F82" t="n">
        <v>48552</v>
      </c>
      <c r="G82" t="n">
        <v>49.3</v>
      </c>
      <c r="H82" t="n">
        <v>1.705</v>
      </c>
    </row>
    <row r="83">
      <c r="A83" t="inlineStr">
        <is>
          <t>Watonwan</t>
        </is>
      </c>
      <c r="B83">
        <f>Inputs_State!$B$1</f>
        <v/>
      </c>
      <c r="C83" t="n">
        <v>8.6</v>
      </c>
      <c r="D83" t="n">
        <v>0.3</v>
      </c>
      <c r="E83" t="n">
        <v>755</v>
      </c>
      <c r="F83" t="n">
        <v>7496</v>
      </c>
      <c r="G83" t="n">
        <v>9</v>
      </c>
      <c r="H83" t="n">
        <v>1.675</v>
      </c>
    </row>
    <row r="84">
      <c r="A84" t="inlineStr">
        <is>
          <t>Wilkin</t>
        </is>
      </c>
      <c r="B84">
        <f>Inputs_State!$B$1</f>
        <v/>
      </c>
      <c r="C84" t="n">
        <v>8.800000000000001</v>
      </c>
      <c r="D84" t="n">
        <v>0.3</v>
      </c>
      <c r="E84" t="n">
        <v>581</v>
      </c>
      <c r="F84" t="n">
        <v>8332</v>
      </c>
      <c r="G84" t="n">
        <v>9.5</v>
      </c>
      <c r="H84" t="n">
        <v>1.654</v>
      </c>
    </row>
    <row r="85">
      <c r="A85" t="inlineStr">
        <is>
          <t>Winona</t>
        </is>
      </c>
      <c r="B85">
        <f>Inputs_State!$B$1</f>
        <v/>
      </c>
      <c r="C85" t="n">
        <v>24.3</v>
      </c>
      <c r="D85" t="n">
        <v>0.4</v>
      </c>
      <c r="E85" t="n">
        <v>5486</v>
      </c>
      <c r="F85" t="n">
        <v>19590</v>
      </c>
      <c r="G85" t="n">
        <v>22.4</v>
      </c>
      <c r="H85" t="n">
        <v>1.704</v>
      </c>
    </row>
    <row r="86">
      <c r="A86" t="inlineStr">
        <is>
          <t>Wright</t>
        </is>
      </c>
      <c r="B86">
        <f>Inputs_State!$B$1</f>
        <v/>
      </c>
      <c r="C86" t="n">
        <v>15.5</v>
      </c>
      <c r="D86" t="n">
        <v>0.3</v>
      </c>
      <c r="E86" t="n">
        <v>2350</v>
      </c>
      <c r="F86" t="n">
        <v>12119</v>
      </c>
      <c r="G86" t="n">
        <v>15.3</v>
      </c>
      <c r="H86" t="n">
        <v>1.669</v>
      </c>
    </row>
    <row r="87">
      <c r="A87" t="inlineStr">
        <is>
          <t>Yellow Medicine</t>
        </is>
      </c>
      <c r="B87">
        <f>Inputs_State!$B$1</f>
        <v/>
      </c>
      <c r="C87" t="n">
        <v>6.3</v>
      </c>
      <c r="D87" t="n">
        <v>0.3</v>
      </c>
      <c r="E87" t="n">
        <v>2096</v>
      </c>
      <c r="F87" t="n">
        <v>5571</v>
      </c>
      <c r="G87" t="n">
        <v>5.8</v>
      </c>
      <c r="H87" t="n">
        <v>1.696</v>
      </c>
    </row>
  </sheetData>
  <dataValidations count="1">
    <dataValidation sqref="A2:A87" showDropDown="0" showInputMessage="0" showErrorMessage="0" allowBlank="0" type="list">
      <formula1>=tblCounties[County]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County</t>
        </is>
      </c>
      <c r="B1" s="1" t="inlineStr">
        <is>
          <t>Period</t>
        </is>
      </c>
      <c r="C1" s="1" t="inlineStr">
        <is>
          <t>Category</t>
        </is>
      </c>
      <c r="D1" s="1" t="inlineStr">
        <is>
          <t>Count</t>
        </is>
      </c>
      <c r="E1" s="1" t="inlineStr">
        <is>
          <t>Weight</t>
        </is>
      </c>
      <c r="F1" s="1" t="inlineStr">
        <is>
          <t>Points</t>
        </is>
      </c>
    </row>
    <row r="2">
      <c r="A2" t="inlineStr">
        <is>
          <t>Aitkin</t>
        </is>
      </c>
      <c r="B2">
        <f>Inputs_State!$B$1</f>
        <v/>
      </c>
      <c r="C2" t="inlineStr">
        <is>
          <t>Standard Case Work</t>
        </is>
      </c>
      <c r="D2" t="n">
        <v>241</v>
      </c>
      <c r="E2">
        <f>IFERROR(VLOOKUP(C2,Weights!$A$2:$B$11,2,FALSE),1)</f>
        <v/>
      </c>
      <c r="F2">
        <f>D2*E2</f>
        <v/>
      </c>
    </row>
    <row r="3">
      <c r="A3" t="inlineStr">
        <is>
          <t>Aitkin</t>
        </is>
      </c>
      <c r="B3">
        <f>Inputs_State!$B$1</f>
        <v/>
      </c>
      <c r="C3" t="inlineStr">
        <is>
          <t>Full Locate / Long Locate</t>
        </is>
      </c>
      <c r="D3" t="n">
        <v>424</v>
      </c>
      <c r="E3">
        <f>IFERROR(VLOOKUP(C3,Weights!$A$2:$B$11,2,FALSE),2)</f>
        <v/>
      </c>
      <c r="F3">
        <f>D3*E3</f>
        <v/>
      </c>
    </row>
    <row r="4">
      <c r="A4" t="inlineStr">
        <is>
          <t>Aitkin</t>
        </is>
      </c>
      <c r="B4">
        <f>Inputs_State!$B$1</f>
        <v/>
      </c>
      <c r="C4" t="inlineStr">
        <is>
          <t>METS / Interstate Complexity</t>
        </is>
      </c>
      <c r="D4" t="n">
        <v>111</v>
      </c>
      <c r="E4">
        <f>IFERROR(VLOOKUP(C4,Weights!$A$2:$B$11,2,FALSE),1.5)</f>
        <v/>
      </c>
      <c r="F4">
        <f>D4*E4</f>
        <v/>
      </c>
    </row>
    <row r="5">
      <c r="A5" t="inlineStr">
        <is>
          <t>Aitkin</t>
        </is>
      </c>
      <c r="B5">
        <f>Inputs_State!$B$1</f>
        <v/>
      </c>
      <c r="C5" t="inlineStr">
        <is>
          <t>Enforcement / R&amp;M Actions</t>
        </is>
      </c>
      <c r="D5" t="n">
        <v>400</v>
      </c>
      <c r="E5">
        <f>IFERROR(VLOOKUP(C5,Weights!$A$2:$B$11,2,FALSE),1.3)</f>
        <v/>
      </c>
      <c r="F5">
        <f>D5*E5</f>
        <v/>
      </c>
    </row>
    <row r="6">
      <c r="A6" t="inlineStr">
        <is>
          <t>Aitkin</t>
        </is>
      </c>
      <c r="B6">
        <f>Inputs_State!$B$1</f>
        <v/>
      </c>
      <c r="C6" t="inlineStr">
        <is>
          <t>Customer Contacts - Telephone</t>
        </is>
      </c>
      <c r="D6" t="n">
        <v>1987</v>
      </c>
      <c r="E6">
        <f>IFERROR(VLOOKUP(C6,Weights!$A$2:$B$11,2,FALSE),0.2)</f>
        <v/>
      </c>
      <c r="F6">
        <f>D6*E6</f>
        <v/>
      </c>
    </row>
    <row r="7">
      <c r="A7" t="inlineStr">
        <is>
          <t>Aitkin</t>
        </is>
      </c>
      <c r="B7">
        <f>Inputs_State!$B$1</f>
        <v/>
      </c>
      <c r="C7" t="inlineStr">
        <is>
          <t>Customer Contacts - Email/Portal</t>
        </is>
      </c>
      <c r="D7" t="n">
        <v>15322</v>
      </c>
      <c r="E7">
        <f>IFERROR(VLOOKUP(C7,Weights!$A$2:$B$11,2,FALSE),0.15)</f>
        <v/>
      </c>
      <c r="F7">
        <f>D7*E7</f>
        <v/>
      </c>
    </row>
    <row r="8">
      <c r="A8" t="inlineStr">
        <is>
          <t>Aitkin</t>
        </is>
      </c>
      <c r="B8">
        <f>Inputs_State!$B$1</f>
        <v/>
      </c>
      <c r="C8" t="inlineStr">
        <is>
          <t>Interpreter/Language Services</t>
        </is>
      </c>
      <c r="D8" t="n">
        <v>1113</v>
      </c>
      <c r="E8">
        <f>IFERROR(VLOOKUP(C8,Weights!$A$2:$B$11,2,FALSE),0.6)</f>
        <v/>
      </c>
      <c r="F8">
        <f>D8*E8</f>
        <v/>
      </c>
    </row>
    <row r="9">
      <c r="A9" t="inlineStr">
        <is>
          <t>Aitkin</t>
        </is>
      </c>
      <c r="B9">
        <f>Inputs_State!$B$1</f>
        <v/>
      </c>
      <c r="C9" t="inlineStr">
        <is>
          <t>Safety / High Risk Handling</t>
        </is>
      </c>
      <c r="D9" t="n">
        <v>215</v>
      </c>
      <c r="E9">
        <f>IFERROR(VLOOKUP(C9,Weights!$A$2:$B$11,2,FALSE),0.7)</f>
        <v/>
      </c>
      <c r="F9">
        <f>D9*E9</f>
        <v/>
      </c>
    </row>
    <row r="10">
      <c r="A10" t="inlineStr">
        <is>
          <t>Aitkin</t>
        </is>
      </c>
      <c r="B10">
        <f>Inputs_State!$B$1</f>
        <v/>
      </c>
      <c r="C10" t="inlineStr">
        <is>
          <t>Incarceration Coordination</t>
        </is>
      </c>
      <c r="D10" t="n">
        <v>4175</v>
      </c>
      <c r="E10">
        <f>IFERROR(VLOOKUP(C10,Weights!$A$2:$B$11,2,FALSE),0.5)</f>
        <v/>
      </c>
      <c r="F10">
        <f>D10*E10</f>
        <v/>
      </c>
    </row>
    <row r="11">
      <c r="A11" t="inlineStr">
        <is>
          <t>Aitkin</t>
        </is>
      </c>
      <c r="B11">
        <f>Inputs_State!$B$1</f>
        <v/>
      </c>
      <c r="C11" t="inlineStr">
        <is>
          <t>Unlocatable / Skip Work</t>
        </is>
      </c>
      <c r="D11" t="n">
        <v>284</v>
      </c>
      <c r="E11">
        <f>IFERROR(VLOOKUP(C11,Weights!$A$2:$B$11,2,FALSE),0.8)</f>
        <v/>
      </c>
      <c r="F11">
        <f>D11*E11</f>
        <v/>
      </c>
    </row>
    <row r="12">
      <c r="A12" t="inlineStr">
        <is>
          <t>Anoka</t>
        </is>
      </c>
      <c r="B12">
        <f>Inputs_State!$B$1</f>
        <v/>
      </c>
      <c r="C12" t="inlineStr">
        <is>
          <t>Standard Case Work</t>
        </is>
      </c>
      <c r="D12" t="n">
        <v>1517</v>
      </c>
      <c r="E12">
        <f>IFERROR(VLOOKUP(C12,Weights!$A$2:$B$11,2,FALSE),1)</f>
        <v/>
      </c>
      <c r="F12">
        <f>D12*E12</f>
        <v/>
      </c>
    </row>
    <row r="13">
      <c r="A13" t="inlineStr">
        <is>
          <t>Anoka</t>
        </is>
      </c>
      <c r="B13">
        <f>Inputs_State!$B$1</f>
        <v/>
      </c>
      <c r="C13" t="inlineStr">
        <is>
          <t>Full Locate / Long Locate</t>
        </is>
      </c>
      <c r="D13" t="n">
        <v>2095</v>
      </c>
      <c r="E13">
        <f>IFERROR(VLOOKUP(C13,Weights!$A$2:$B$11,2,FALSE),2)</f>
        <v/>
      </c>
      <c r="F13">
        <f>D13*E13</f>
        <v/>
      </c>
    </row>
    <row r="14">
      <c r="A14" t="inlineStr">
        <is>
          <t>Anoka</t>
        </is>
      </c>
      <c r="B14">
        <f>Inputs_State!$B$1</f>
        <v/>
      </c>
      <c r="C14" t="inlineStr">
        <is>
          <t>METS / Interstate Complexity</t>
        </is>
      </c>
      <c r="D14" t="n">
        <v>682</v>
      </c>
      <c r="E14">
        <f>IFERROR(VLOOKUP(C14,Weights!$A$2:$B$11,2,FALSE),1.5)</f>
        <v/>
      </c>
      <c r="F14">
        <f>D14*E14</f>
        <v/>
      </c>
    </row>
    <row r="15">
      <c r="A15" t="inlineStr">
        <is>
          <t>Anoka</t>
        </is>
      </c>
      <c r="B15">
        <f>Inputs_State!$B$1</f>
        <v/>
      </c>
      <c r="C15" t="inlineStr">
        <is>
          <t>Enforcement / R&amp;M Actions</t>
        </is>
      </c>
      <c r="D15" t="n">
        <v>2397</v>
      </c>
      <c r="E15">
        <f>IFERROR(VLOOKUP(C15,Weights!$A$2:$B$11,2,FALSE),1.3)</f>
        <v/>
      </c>
      <c r="F15">
        <f>D15*E15</f>
        <v/>
      </c>
    </row>
    <row r="16">
      <c r="A16" t="inlineStr">
        <is>
          <t>Anoka</t>
        </is>
      </c>
      <c r="B16">
        <f>Inputs_State!$B$1</f>
        <v/>
      </c>
      <c r="C16" t="inlineStr">
        <is>
          <t>Customer Contacts - Telephone</t>
        </is>
      </c>
      <c r="D16" t="n">
        <v>14986</v>
      </c>
      <c r="E16">
        <f>IFERROR(VLOOKUP(C16,Weights!$A$2:$B$11,2,FALSE),0.2)</f>
        <v/>
      </c>
      <c r="F16">
        <f>D16*E16</f>
        <v/>
      </c>
    </row>
    <row r="17">
      <c r="A17" t="inlineStr">
        <is>
          <t>Anoka</t>
        </is>
      </c>
      <c r="B17">
        <f>Inputs_State!$B$1</f>
        <v/>
      </c>
      <c r="C17" t="inlineStr">
        <is>
          <t>Customer Contacts - Email/Portal</t>
        </is>
      </c>
      <c r="D17" t="n">
        <v>84617</v>
      </c>
      <c r="E17">
        <f>IFERROR(VLOOKUP(C17,Weights!$A$2:$B$11,2,FALSE),0.15)</f>
        <v/>
      </c>
      <c r="F17">
        <f>D17*E17</f>
        <v/>
      </c>
    </row>
    <row r="18">
      <c r="A18" t="inlineStr">
        <is>
          <t>Anoka</t>
        </is>
      </c>
      <c r="B18">
        <f>Inputs_State!$B$1</f>
        <v/>
      </c>
      <c r="C18" t="inlineStr">
        <is>
          <t>Interpreter/Language Services</t>
        </is>
      </c>
      <c r="D18" t="n">
        <v>7301</v>
      </c>
      <c r="E18">
        <f>IFERROR(VLOOKUP(C18,Weights!$A$2:$B$11,2,FALSE),0.6)</f>
        <v/>
      </c>
      <c r="F18">
        <f>D18*E18</f>
        <v/>
      </c>
    </row>
    <row r="19">
      <c r="A19" t="inlineStr">
        <is>
          <t>Anoka</t>
        </is>
      </c>
      <c r="B19">
        <f>Inputs_State!$B$1</f>
        <v/>
      </c>
      <c r="C19" t="inlineStr">
        <is>
          <t>Safety / High Risk Handling</t>
        </is>
      </c>
      <c r="D19" t="n">
        <v>1300</v>
      </c>
      <c r="E19">
        <f>IFERROR(VLOOKUP(C19,Weights!$A$2:$B$11,2,FALSE),0.7)</f>
        <v/>
      </c>
      <c r="F19">
        <f>D19*E19</f>
        <v/>
      </c>
    </row>
    <row r="20">
      <c r="A20" t="inlineStr">
        <is>
          <t>Anoka</t>
        </is>
      </c>
      <c r="B20">
        <f>Inputs_State!$B$1</f>
        <v/>
      </c>
      <c r="C20" t="inlineStr">
        <is>
          <t>Incarceration Coordination</t>
        </is>
      </c>
      <c r="D20" t="n">
        <v>25812</v>
      </c>
      <c r="E20">
        <f>IFERROR(VLOOKUP(C20,Weights!$A$2:$B$11,2,FALSE),0.5)</f>
        <v/>
      </c>
      <c r="F20">
        <f>D20*E20</f>
        <v/>
      </c>
    </row>
    <row r="21">
      <c r="A21" t="inlineStr">
        <is>
          <t>Anoka</t>
        </is>
      </c>
      <c r="B21">
        <f>Inputs_State!$B$1</f>
        <v/>
      </c>
      <c r="C21" t="inlineStr">
        <is>
          <t>Unlocatable / Skip Work</t>
        </is>
      </c>
      <c r="D21" t="n">
        <v>1888</v>
      </c>
      <c r="E21">
        <f>IFERROR(VLOOKUP(C21,Weights!$A$2:$B$11,2,FALSE),0.8)</f>
        <v/>
      </c>
      <c r="F21">
        <f>D21*E21</f>
        <v/>
      </c>
    </row>
    <row r="22">
      <c r="A22" t="inlineStr">
        <is>
          <t>Becker</t>
        </is>
      </c>
      <c r="B22">
        <f>Inputs_State!$B$1</f>
        <v/>
      </c>
      <c r="C22" t="inlineStr">
        <is>
          <t>Standard Case Work</t>
        </is>
      </c>
      <c r="D22" t="n">
        <v>91</v>
      </c>
      <c r="E22">
        <f>IFERROR(VLOOKUP(C22,Weights!$A$2:$B$11,2,FALSE),1)</f>
        <v/>
      </c>
      <c r="F22">
        <f>D22*E22</f>
        <v/>
      </c>
    </row>
    <row r="23">
      <c r="A23" t="inlineStr">
        <is>
          <t>Becker</t>
        </is>
      </c>
      <c r="B23">
        <f>Inputs_State!$B$1</f>
        <v/>
      </c>
      <c r="C23" t="inlineStr">
        <is>
          <t>Full Locate / Long Locate</t>
        </is>
      </c>
      <c r="D23" t="n">
        <v>167</v>
      </c>
      <c r="E23">
        <f>IFERROR(VLOOKUP(C23,Weights!$A$2:$B$11,2,FALSE),2)</f>
        <v/>
      </c>
      <c r="F23">
        <f>D23*E23</f>
        <v/>
      </c>
    </row>
    <row r="24">
      <c r="A24" t="inlineStr">
        <is>
          <t>Becker</t>
        </is>
      </c>
      <c r="B24">
        <f>Inputs_State!$B$1</f>
        <v/>
      </c>
      <c r="C24" t="inlineStr">
        <is>
          <t>METS / Interstate Complexity</t>
        </is>
      </c>
      <c r="D24" t="n">
        <v>37</v>
      </c>
      <c r="E24">
        <f>IFERROR(VLOOKUP(C24,Weights!$A$2:$B$11,2,FALSE),1.5)</f>
        <v/>
      </c>
      <c r="F24">
        <f>D24*E24</f>
        <v/>
      </c>
    </row>
    <row r="25">
      <c r="A25" t="inlineStr">
        <is>
          <t>Becker</t>
        </is>
      </c>
      <c r="B25">
        <f>Inputs_State!$B$1</f>
        <v/>
      </c>
      <c r="C25" t="inlineStr">
        <is>
          <t>Enforcement / R&amp;M Actions</t>
        </is>
      </c>
      <c r="D25" t="n">
        <v>133</v>
      </c>
      <c r="E25">
        <f>IFERROR(VLOOKUP(C25,Weights!$A$2:$B$11,2,FALSE),1.3)</f>
        <v/>
      </c>
      <c r="F25">
        <f>D25*E25</f>
        <v/>
      </c>
    </row>
    <row r="26">
      <c r="A26" t="inlineStr">
        <is>
          <t>Becker</t>
        </is>
      </c>
      <c r="B26">
        <f>Inputs_State!$B$1</f>
        <v/>
      </c>
      <c r="C26" t="inlineStr">
        <is>
          <t>Customer Contacts - Telephone</t>
        </is>
      </c>
      <c r="D26" t="n">
        <v>962</v>
      </c>
      <c r="E26">
        <f>IFERROR(VLOOKUP(C26,Weights!$A$2:$B$11,2,FALSE),0.2)</f>
        <v/>
      </c>
      <c r="F26">
        <f>D26*E26</f>
        <v/>
      </c>
    </row>
    <row r="27">
      <c r="A27" t="inlineStr">
        <is>
          <t>Becker</t>
        </is>
      </c>
      <c r="B27">
        <f>Inputs_State!$B$1</f>
        <v/>
      </c>
      <c r="C27" t="inlineStr">
        <is>
          <t>Customer Contacts - Email/Portal</t>
        </is>
      </c>
      <c r="D27" t="n">
        <v>5501</v>
      </c>
      <c r="E27">
        <f>IFERROR(VLOOKUP(C27,Weights!$A$2:$B$11,2,FALSE),0.15)</f>
        <v/>
      </c>
      <c r="F27">
        <f>D27*E27</f>
        <v/>
      </c>
    </row>
    <row r="28">
      <c r="A28" t="inlineStr">
        <is>
          <t>Becker</t>
        </is>
      </c>
      <c r="B28">
        <f>Inputs_State!$B$1</f>
        <v/>
      </c>
      <c r="C28" t="inlineStr">
        <is>
          <t>Interpreter/Language Services</t>
        </is>
      </c>
      <c r="D28" t="n">
        <v>539</v>
      </c>
      <c r="E28">
        <f>IFERROR(VLOOKUP(C28,Weights!$A$2:$B$11,2,FALSE),0.6)</f>
        <v/>
      </c>
      <c r="F28">
        <f>D28*E28</f>
        <v/>
      </c>
    </row>
    <row r="29">
      <c r="A29" t="inlineStr">
        <is>
          <t>Becker</t>
        </is>
      </c>
      <c r="B29">
        <f>Inputs_State!$B$1</f>
        <v/>
      </c>
      <c r="C29" t="inlineStr">
        <is>
          <t>Safety / High Risk Handling</t>
        </is>
      </c>
      <c r="D29" t="n">
        <v>79</v>
      </c>
      <c r="E29">
        <f>IFERROR(VLOOKUP(C29,Weights!$A$2:$B$11,2,FALSE),0.7)</f>
        <v/>
      </c>
      <c r="F29">
        <f>D29*E29</f>
        <v/>
      </c>
    </row>
    <row r="30">
      <c r="A30" t="inlineStr">
        <is>
          <t>Becker</t>
        </is>
      </c>
      <c r="B30">
        <f>Inputs_State!$B$1</f>
        <v/>
      </c>
      <c r="C30" t="inlineStr">
        <is>
          <t>Incarceration Coordination</t>
        </is>
      </c>
      <c r="D30" t="n">
        <v>1655</v>
      </c>
      <c r="E30">
        <f>IFERROR(VLOOKUP(C30,Weights!$A$2:$B$11,2,FALSE),0.5)</f>
        <v/>
      </c>
      <c r="F30">
        <f>D30*E30</f>
        <v/>
      </c>
    </row>
    <row r="31">
      <c r="A31" t="inlineStr">
        <is>
          <t>Becker</t>
        </is>
      </c>
      <c r="B31">
        <f>Inputs_State!$B$1</f>
        <v/>
      </c>
      <c r="C31" t="inlineStr">
        <is>
          <t>Unlocatable / Skip Work</t>
        </is>
      </c>
      <c r="D31" t="n">
        <v>127</v>
      </c>
      <c r="E31">
        <f>IFERROR(VLOOKUP(C31,Weights!$A$2:$B$11,2,FALSE),0.8)</f>
        <v/>
      </c>
      <c r="F31">
        <f>D31*E31</f>
        <v/>
      </c>
    </row>
    <row r="32">
      <c r="A32" t="inlineStr">
        <is>
          <t>Beltrami</t>
        </is>
      </c>
      <c r="B32">
        <f>Inputs_State!$B$1</f>
        <v/>
      </c>
      <c r="C32" t="inlineStr">
        <is>
          <t>Standard Case Work</t>
        </is>
      </c>
      <c r="D32" t="n">
        <v>582</v>
      </c>
      <c r="E32">
        <f>IFERROR(VLOOKUP(C32,Weights!$A$2:$B$11,2,FALSE),1)</f>
        <v/>
      </c>
      <c r="F32">
        <f>D32*E32</f>
        <v/>
      </c>
    </row>
    <row r="33">
      <c r="A33" t="inlineStr">
        <is>
          <t>Beltrami</t>
        </is>
      </c>
      <c r="B33">
        <f>Inputs_State!$B$1</f>
        <v/>
      </c>
      <c r="C33" t="inlineStr">
        <is>
          <t>Full Locate / Long Locate</t>
        </is>
      </c>
      <c r="D33" t="n">
        <v>1020</v>
      </c>
      <c r="E33">
        <f>IFERROR(VLOOKUP(C33,Weights!$A$2:$B$11,2,FALSE),2)</f>
        <v/>
      </c>
      <c r="F33">
        <f>D33*E33</f>
        <v/>
      </c>
    </row>
    <row r="34">
      <c r="A34" t="inlineStr">
        <is>
          <t>Beltrami</t>
        </is>
      </c>
      <c r="B34">
        <f>Inputs_State!$B$1</f>
        <v/>
      </c>
      <c r="C34" t="inlineStr">
        <is>
          <t>METS / Interstate Complexity</t>
        </is>
      </c>
      <c r="D34" t="n">
        <v>281</v>
      </c>
      <c r="E34">
        <f>IFERROR(VLOOKUP(C34,Weights!$A$2:$B$11,2,FALSE),1.5)</f>
        <v/>
      </c>
      <c r="F34">
        <f>D34*E34</f>
        <v/>
      </c>
    </row>
    <row r="35">
      <c r="A35" t="inlineStr">
        <is>
          <t>Beltrami</t>
        </is>
      </c>
      <c r="B35">
        <f>Inputs_State!$B$1</f>
        <v/>
      </c>
      <c r="C35" t="inlineStr">
        <is>
          <t>Enforcement / R&amp;M Actions</t>
        </is>
      </c>
      <c r="D35" t="n">
        <v>999</v>
      </c>
      <c r="E35">
        <f>IFERROR(VLOOKUP(C35,Weights!$A$2:$B$11,2,FALSE),1.3)</f>
        <v/>
      </c>
      <c r="F35">
        <f>D35*E35</f>
        <v/>
      </c>
    </row>
    <row r="36">
      <c r="A36" t="inlineStr">
        <is>
          <t>Beltrami</t>
        </is>
      </c>
      <c r="B36">
        <f>Inputs_State!$B$1</f>
        <v/>
      </c>
      <c r="C36" t="inlineStr">
        <is>
          <t>Customer Contacts - Telephone</t>
        </is>
      </c>
      <c r="D36" t="n">
        <v>5742</v>
      </c>
      <c r="E36">
        <f>IFERROR(VLOOKUP(C36,Weights!$A$2:$B$11,2,FALSE),0.2)</f>
        <v/>
      </c>
      <c r="F36">
        <f>D36*E36</f>
        <v/>
      </c>
    </row>
    <row r="37">
      <c r="A37" t="inlineStr">
        <is>
          <t>Beltrami</t>
        </is>
      </c>
      <c r="B37">
        <f>Inputs_State!$B$1</f>
        <v/>
      </c>
      <c r="C37" t="inlineStr">
        <is>
          <t>Customer Contacts - Email/Portal</t>
        </is>
      </c>
      <c r="D37" t="n">
        <v>42656</v>
      </c>
      <c r="E37">
        <f>IFERROR(VLOOKUP(C37,Weights!$A$2:$B$11,2,FALSE),0.15)</f>
        <v/>
      </c>
      <c r="F37">
        <f>D37*E37</f>
        <v/>
      </c>
    </row>
    <row r="38">
      <c r="A38" t="inlineStr">
        <is>
          <t>Beltrami</t>
        </is>
      </c>
      <c r="B38">
        <f>Inputs_State!$B$1</f>
        <v/>
      </c>
      <c r="C38" t="inlineStr">
        <is>
          <t>Interpreter/Language Services</t>
        </is>
      </c>
      <c r="D38" t="n">
        <v>3612</v>
      </c>
      <c r="E38">
        <f>IFERROR(VLOOKUP(C38,Weights!$A$2:$B$11,2,FALSE),0.6)</f>
        <v/>
      </c>
      <c r="F38">
        <f>D38*E38</f>
        <v/>
      </c>
    </row>
    <row r="39">
      <c r="A39" t="inlineStr">
        <is>
          <t>Beltrami</t>
        </is>
      </c>
      <c r="B39">
        <f>Inputs_State!$B$1</f>
        <v/>
      </c>
      <c r="C39" t="inlineStr">
        <is>
          <t>Safety / High Risk Handling</t>
        </is>
      </c>
      <c r="D39" t="n">
        <v>579</v>
      </c>
      <c r="E39">
        <f>IFERROR(VLOOKUP(C39,Weights!$A$2:$B$11,2,FALSE),0.7)</f>
        <v/>
      </c>
      <c r="F39">
        <f>D39*E39</f>
        <v/>
      </c>
    </row>
    <row r="40">
      <c r="A40" t="inlineStr">
        <is>
          <t>Beltrami</t>
        </is>
      </c>
      <c r="B40">
        <f>Inputs_State!$B$1</f>
        <v/>
      </c>
      <c r="C40" t="inlineStr">
        <is>
          <t>Incarceration Coordination</t>
        </is>
      </c>
      <c r="D40" t="n">
        <v>12167</v>
      </c>
      <c r="E40">
        <f>IFERROR(VLOOKUP(C40,Weights!$A$2:$B$11,2,FALSE),0.5)</f>
        <v/>
      </c>
      <c r="F40">
        <f>D40*E40</f>
        <v/>
      </c>
    </row>
    <row r="41">
      <c r="A41" t="inlineStr">
        <is>
          <t>Beltrami</t>
        </is>
      </c>
      <c r="B41">
        <f>Inputs_State!$B$1</f>
        <v/>
      </c>
      <c r="C41" t="inlineStr">
        <is>
          <t>Unlocatable / Skip Work</t>
        </is>
      </c>
      <c r="D41" t="n">
        <v>850</v>
      </c>
      <c r="E41">
        <f>IFERROR(VLOOKUP(C41,Weights!$A$2:$B$11,2,FALSE),0.8)</f>
        <v/>
      </c>
      <c r="F41">
        <f>D41*E41</f>
        <v/>
      </c>
    </row>
    <row r="42">
      <c r="A42" t="inlineStr">
        <is>
          <t>Benton</t>
        </is>
      </c>
      <c r="B42">
        <f>Inputs_State!$B$1</f>
        <v/>
      </c>
      <c r="C42" t="inlineStr">
        <is>
          <t>Standard Case Work</t>
        </is>
      </c>
      <c r="D42" t="n">
        <v>313</v>
      </c>
      <c r="E42">
        <f>IFERROR(VLOOKUP(C42,Weights!$A$2:$B$11,2,FALSE),1)</f>
        <v/>
      </c>
      <c r="F42">
        <f>D42*E42</f>
        <v/>
      </c>
    </row>
    <row r="43">
      <c r="A43" t="inlineStr">
        <is>
          <t>Benton</t>
        </is>
      </c>
      <c r="B43">
        <f>Inputs_State!$B$1</f>
        <v/>
      </c>
      <c r="C43" t="inlineStr">
        <is>
          <t>Full Locate / Long Locate</t>
        </is>
      </c>
      <c r="D43" t="n">
        <v>429</v>
      </c>
      <c r="E43">
        <f>IFERROR(VLOOKUP(C43,Weights!$A$2:$B$11,2,FALSE),2)</f>
        <v/>
      </c>
      <c r="F43">
        <f>D43*E43</f>
        <v/>
      </c>
    </row>
    <row r="44">
      <c r="A44" t="inlineStr">
        <is>
          <t>Benton</t>
        </is>
      </c>
      <c r="B44">
        <f>Inputs_State!$B$1</f>
        <v/>
      </c>
      <c r="C44" t="inlineStr">
        <is>
          <t>METS / Interstate Complexity</t>
        </is>
      </c>
      <c r="D44" t="n">
        <v>145</v>
      </c>
      <c r="E44">
        <f>IFERROR(VLOOKUP(C44,Weights!$A$2:$B$11,2,FALSE),1.5)</f>
        <v/>
      </c>
      <c r="F44">
        <f>D44*E44</f>
        <v/>
      </c>
    </row>
    <row r="45">
      <c r="A45" t="inlineStr">
        <is>
          <t>Benton</t>
        </is>
      </c>
      <c r="B45">
        <f>Inputs_State!$B$1</f>
        <v/>
      </c>
      <c r="C45" t="inlineStr">
        <is>
          <t>Enforcement / R&amp;M Actions</t>
        </is>
      </c>
      <c r="D45" t="n">
        <v>497</v>
      </c>
      <c r="E45">
        <f>IFERROR(VLOOKUP(C45,Weights!$A$2:$B$11,2,FALSE),1.3)</f>
        <v/>
      </c>
      <c r="F45">
        <f>D45*E45</f>
        <v/>
      </c>
    </row>
    <row r="46">
      <c r="A46" t="inlineStr">
        <is>
          <t>Benton</t>
        </is>
      </c>
      <c r="B46">
        <f>Inputs_State!$B$1</f>
        <v/>
      </c>
      <c r="C46" t="inlineStr">
        <is>
          <t>Customer Contacts - Telephone</t>
        </is>
      </c>
      <c r="D46" t="n">
        <v>2744</v>
      </c>
      <c r="E46">
        <f>IFERROR(VLOOKUP(C46,Weights!$A$2:$B$11,2,FALSE),0.2)</f>
        <v/>
      </c>
      <c r="F46">
        <f>D46*E46</f>
        <v/>
      </c>
    </row>
    <row r="47">
      <c r="A47" t="inlineStr">
        <is>
          <t>Benton</t>
        </is>
      </c>
      <c r="B47">
        <f>Inputs_State!$B$1</f>
        <v/>
      </c>
      <c r="C47" t="inlineStr">
        <is>
          <t>Customer Contacts - Email/Portal</t>
        </is>
      </c>
      <c r="D47" t="n">
        <v>20314</v>
      </c>
      <c r="E47">
        <f>IFERROR(VLOOKUP(C47,Weights!$A$2:$B$11,2,FALSE),0.15)</f>
        <v/>
      </c>
      <c r="F47">
        <f>D47*E47</f>
        <v/>
      </c>
    </row>
    <row r="48">
      <c r="A48" t="inlineStr">
        <is>
          <t>Benton</t>
        </is>
      </c>
      <c r="B48">
        <f>Inputs_State!$B$1</f>
        <v/>
      </c>
      <c r="C48" t="inlineStr">
        <is>
          <t>Interpreter/Language Services</t>
        </is>
      </c>
      <c r="D48" t="n">
        <v>1759</v>
      </c>
      <c r="E48">
        <f>IFERROR(VLOOKUP(C48,Weights!$A$2:$B$11,2,FALSE),0.6)</f>
        <v/>
      </c>
      <c r="F48">
        <f>D48*E48</f>
        <v/>
      </c>
    </row>
    <row r="49">
      <c r="A49" t="inlineStr">
        <is>
          <t>Benton</t>
        </is>
      </c>
      <c r="B49">
        <f>Inputs_State!$B$1</f>
        <v/>
      </c>
      <c r="C49" t="inlineStr">
        <is>
          <t>Safety / High Risk Handling</t>
        </is>
      </c>
      <c r="D49" t="n">
        <v>274</v>
      </c>
      <c r="E49">
        <f>IFERROR(VLOOKUP(C49,Weights!$A$2:$B$11,2,FALSE),0.7)</f>
        <v/>
      </c>
      <c r="F49">
        <f>D49*E49</f>
        <v/>
      </c>
    </row>
    <row r="50">
      <c r="A50" t="inlineStr">
        <is>
          <t>Benton</t>
        </is>
      </c>
      <c r="B50">
        <f>Inputs_State!$B$1</f>
        <v/>
      </c>
      <c r="C50" t="inlineStr">
        <is>
          <t>Incarceration Coordination</t>
        </is>
      </c>
      <c r="D50" t="n">
        <v>5977</v>
      </c>
      <c r="E50">
        <f>IFERROR(VLOOKUP(C50,Weights!$A$2:$B$11,2,FALSE),0.5)</f>
        <v/>
      </c>
      <c r="F50">
        <f>D50*E50</f>
        <v/>
      </c>
    </row>
    <row r="51">
      <c r="A51" t="inlineStr">
        <is>
          <t>Benton</t>
        </is>
      </c>
      <c r="B51">
        <f>Inputs_State!$B$1</f>
        <v/>
      </c>
      <c r="C51" t="inlineStr">
        <is>
          <t>Unlocatable / Skip Work</t>
        </is>
      </c>
      <c r="D51" t="n">
        <v>409</v>
      </c>
      <c r="E51">
        <f>IFERROR(VLOOKUP(C51,Weights!$A$2:$B$11,2,FALSE),0.8)</f>
        <v/>
      </c>
      <c r="F51">
        <f>D51*E51</f>
        <v/>
      </c>
    </row>
    <row r="52">
      <c r="A52" t="inlineStr">
        <is>
          <t>Big Stone</t>
        </is>
      </c>
      <c r="B52">
        <f>Inputs_State!$B$1</f>
        <v/>
      </c>
      <c r="C52" t="inlineStr">
        <is>
          <t>Standard Case Work</t>
        </is>
      </c>
      <c r="D52" t="n">
        <v>267</v>
      </c>
      <c r="E52">
        <f>IFERROR(VLOOKUP(C52,Weights!$A$2:$B$11,2,FALSE),1)</f>
        <v/>
      </c>
      <c r="F52">
        <f>D52*E52</f>
        <v/>
      </c>
    </row>
    <row r="53">
      <c r="A53" t="inlineStr">
        <is>
          <t>Big Stone</t>
        </is>
      </c>
      <c r="B53">
        <f>Inputs_State!$B$1</f>
        <v/>
      </c>
      <c r="C53" t="inlineStr">
        <is>
          <t>Full Locate / Long Locate</t>
        </is>
      </c>
      <c r="D53" t="n">
        <v>443</v>
      </c>
      <c r="E53">
        <f>IFERROR(VLOOKUP(C53,Weights!$A$2:$B$11,2,FALSE),2)</f>
        <v/>
      </c>
      <c r="F53">
        <f>D53*E53</f>
        <v/>
      </c>
    </row>
    <row r="54">
      <c r="A54" t="inlineStr">
        <is>
          <t>Big Stone</t>
        </is>
      </c>
      <c r="B54">
        <f>Inputs_State!$B$1</f>
        <v/>
      </c>
      <c r="C54" t="inlineStr">
        <is>
          <t>METS / Interstate Complexity</t>
        </is>
      </c>
      <c r="D54" t="n">
        <v>131</v>
      </c>
      <c r="E54">
        <f>IFERROR(VLOOKUP(C54,Weights!$A$2:$B$11,2,FALSE),1.5)</f>
        <v/>
      </c>
      <c r="F54">
        <f>D54*E54</f>
        <v/>
      </c>
    </row>
    <row r="55">
      <c r="A55" t="inlineStr">
        <is>
          <t>Big Stone</t>
        </is>
      </c>
      <c r="B55">
        <f>Inputs_State!$B$1</f>
        <v/>
      </c>
      <c r="C55" t="inlineStr">
        <is>
          <t>Enforcement / R&amp;M Actions</t>
        </is>
      </c>
      <c r="D55" t="n">
        <v>352</v>
      </c>
      <c r="E55">
        <f>IFERROR(VLOOKUP(C55,Weights!$A$2:$B$11,2,FALSE),1.3)</f>
        <v/>
      </c>
      <c r="F55">
        <f>D55*E55</f>
        <v/>
      </c>
    </row>
    <row r="56">
      <c r="A56" t="inlineStr">
        <is>
          <t>Big Stone</t>
        </is>
      </c>
      <c r="B56">
        <f>Inputs_State!$B$1</f>
        <v/>
      </c>
      <c r="C56" t="inlineStr">
        <is>
          <t>Customer Contacts - Telephone</t>
        </is>
      </c>
      <c r="D56" t="n">
        <v>2650</v>
      </c>
      <c r="E56">
        <f>IFERROR(VLOOKUP(C56,Weights!$A$2:$B$11,2,FALSE),0.2)</f>
        <v/>
      </c>
      <c r="F56">
        <f>D56*E56</f>
        <v/>
      </c>
    </row>
    <row r="57">
      <c r="A57" t="inlineStr">
        <is>
          <t>Big Stone</t>
        </is>
      </c>
      <c r="B57">
        <f>Inputs_State!$B$1</f>
        <v/>
      </c>
      <c r="C57" t="inlineStr">
        <is>
          <t>Customer Contacts - Email/Portal</t>
        </is>
      </c>
      <c r="D57" t="n">
        <v>20243</v>
      </c>
      <c r="E57">
        <f>IFERROR(VLOOKUP(C57,Weights!$A$2:$B$11,2,FALSE),0.15)</f>
        <v/>
      </c>
      <c r="F57">
        <f>D57*E57</f>
        <v/>
      </c>
    </row>
    <row r="58">
      <c r="A58" t="inlineStr">
        <is>
          <t>Big Stone</t>
        </is>
      </c>
      <c r="B58">
        <f>Inputs_State!$B$1</f>
        <v/>
      </c>
      <c r="C58" t="inlineStr">
        <is>
          <t>Interpreter/Language Services</t>
        </is>
      </c>
      <c r="D58" t="n">
        <v>1638</v>
      </c>
      <c r="E58">
        <f>IFERROR(VLOOKUP(C58,Weights!$A$2:$B$11,2,FALSE),0.6)</f>
        <v/>
      </c>
      <c r="F58">
        <f>D58*E58</f>
        <v/>
      </c>
    </row>
    <row r="59">
      <c r="A59" t="inlineStr">
        <is>
          <t>Big Stone</t>
        </is>
      </c>
      <c r="B59">
        <f>Inputs_State!$B$1</f>
        <v/>
      </c>
      <c r="C59" t="inlineStr">
        <is>
          <t>Safety / High Risk Handling</t>
        </is>
      </c>
      <c r="D59" t="n">
        <v>248</v>
      </c>
      <c r="E59">
        <f>IFERROR(VLOOKUP(C59,Weights!$A$2:$B$11,2,FALSE),0.7)</f>
        <v/>
      </c>
      <c r="F59">
        <f>D59*E59</f>
        <v/>
      </c>
    </row>
    <row r="60">
      <c r="A60" t="inlineStr">
        <is>
          <t>Big Stone</t>
        </is>
      </c>
      <c r="B60">
        <f>Inputs_State!$B$1</f>
        <v/>
      </c>
      <c r="C60" t="inlineStr">
        <is>
          <t>Incarceration Coordination</t>
        </is>
      </c>
      <c r="D60" t="n">
        <v>5088</v>
      </c>
      <c r="E60">
        <f>IFERROR(VLOOKUP(C60,Weights!$A$2:$B$11,2,FALSE),0.5)</f>
        <v/>
      </c>
      <c r="F60">
        <f>D60*E60</f>
        <v/>
      </c>
    </row>
    <row r="61">
      <c r="A61" t="inlineStr">
        <is>
          <t>Big Stone</t>
        </is>
      </c>
      <c r="B61">
        <f>Inputs_State!$B$1</f>
        <v/>
      </c>
      <c r="C61" t="inlineStr">
        <is>
          <t>Unlocatable / Skip Work</t>
        </is>
      </c>
      <c r="D61" t="n">
        <v>327</v>
      </c>
      <c r="E61">
        <f>IFERROR(VLOOKUP(C61,Weights!$A$2:$B$11,2,FALSE),0.8)</f>
        <v/>
      </c>
      <c r="F61">
        <f>D61*E61</f>
        <v/>
      </c>
    </row>
    <row r="62">
      <c r="A62" t="inlineStr">
        <is>
          <t>Blue Earth</t>
        </is>
      </c>
      <c r="B62">
        <f>Inputs_State!$B$1</f>
        <v/>
      </c>
      <c r="C62" t="inlineStr">
        <is>
          <t>Standard Case Work</t>
        </is>
      </c>
      <c r="D62" t="n">
        <v>679</v>
      </c>
      <c r="E62">
        <f>IFERROR(VLOOKUP(C62,Weights!$A$2:$B$11,2,FALSE),1)</f>
        <v/>
      </c>
      <c r="F62">
        <f>D62*E62</f>
        <v/>
      </c>
    </row>
    <row r="63">
      <c r="A63" t="inlineStr">
        <is>
          <t>Blue Earth</t>
        </is>
      </c>
      <c r="B63">
        <f>Inputs_State!$B$1</f>
        <v/>
      </c>
      <c r="C63" t="inlineStr">
        <is>
          <t>Full Locate / Long Locate</t>
        </is>
      </c>
      <c r="D63" t="n">
        <v>971</v>
      </c>
      <c r="E63">
        <f>IFERROR(VLOOKUP(C63,Weights!$A$2:$B$11,2,FALSE),2)</f>
        <v/>
      </c>
      <c r="F63">
        <f>D63*E63</f>
        <v/>
      </c>
    </row>
    <row r="64">
      <c r="A64" t="inlineStr">
        <is>
          <t>Blue Earth</t>
        </is>
      </c>
      <c r="B64">
        <f>Inputs_State!$B$1</f>
        <v/>
      </c>
      <c r="C64" t="inlineStr">
        <is>
          <t>METS / Interstate Complexity</t>
        </is>
      </c>
      <c r="D64" t="n">
        <v>275</v>
      </c>
      <c r="E64">
        <f>IFERROR(VLOOKUP(C64,Weights!$A$2:$B$11,2,FALSE),1.5)</f>
        <v/>
      </c>
      <c r="F64">
        <f>D64*E64</f>
        <v/>
      </c>
    </row>
    <row r="65">
      <c r="A65" t="inlineStr">
        <is>
          <t>Blue Earth</t>
        </is>
      </c>
      <c r="B65">
        <f>Inputs_State!$B$1</f>
        <v/>
      </c>
      <c r="C65" t="inlineStr">
        <is>
          <t>Enforcement / R&amp;M Actions</t>
        </is>
      </c>
      <c r="D65" t="n">
        <v>1047</v>
      </c>
      <c r="E65">
        <f>IFERROR(VLOOKUP(C65,Weights!$A$2:$B$11,2,FALSE),1.3)</f>
        <v/>
      </c>
      <c r="F65">
        <f>D65*E65</f>
        <v/>
      </c>
    </row>
    <row r="66">
      <c r="A66" t="inlineStr">
        <is>
          <t>Blue Earth</t>
        </is>
      </c>
      <c r="B66">
        <f>Inputs_State!$B$1</f>
        <v/>
      </c>
      <c r="C66" t="inlineStr">
        <is>
          <t>Customer Contacts - Telephone</t>
        </is>
      </c>
      <c r="D66" t="n">
        <v>6325</v>
      </c>
      <c r="E66">
        <f>IFERROR(VLOOKUP(C66,Weights!$A$2:$B$11,2,FALSE),0.2)</f>
        <v/>
      </c>
      <c r="F66">
        <f>D66*E66</f>
        <v/>
      </c>
    </row>
    <row r="67">
      <c r="A67" t="inlineStr">
        <is>
          <t>Blue Earth</t>
        </is>
      </c>
      <c r="B67">
        <f>Inputs_State!$B$1</f>
        <v/>
      </c>
      <c r="C67" t="inlineStr">
        <is>
          <t>Customer Contacts - Email/Portal</t>
        </is>
      </c>
      <c r="D67" t="n">
        <v>46229</v>
      </c>
      <c r="E67">
        <f>IFERROR(VLOOKUP(C67,Weights!$A$2:$B$11,2,FALSE),0.15)</f>
        <v/>
      </c>
      <c r="F67">
        <f>D67*E67</f>
        <v/>
      </c>
    </row>
    <row r="68">
      <c r="A68" t="inlineStr">
        <is>
          <t>Blue Earth</t>
        </is>
      </c>
      <c r="B68">
        <f>Inputs_State!$B$1</f>
        <v/>
      </c>
      <c r="C68" t="inlineStr">
        <is>
          <t>Interpreter/Language Services</t>
        </is>
      </c>
      <c r="D68" t="n">
        <v>4120</v>
      </c>
      <c r="E68">
        <f>IFERROR(VLOOKUP(C68,Weights!$A$2:$B$11,2,FALSE),0.6)</f>
        <v/>
      </c>
      <c r="F68">
        <f>D68*E68</f>
        <v/>
      </c>
    </row>
    <row r="69">
      <c r="A69" t="inlineStr">
        <is>
          <t>Blue Earth</t>
        </is>
      </c>
      <c r="B69">
        <f>Inputs_State!$B$1</f>
        <v/>
      </c>
      <c r="C69" t="inlineStr">
        <is>
          <t>Safety / High Risk Handling</t>
        </is>
      </c>
      <c r="D69" t="n">
        <v>655</v>
      </c>
      <c r="E69">
        <f>IFERROR(VLOOKUP(C69,Weights!$A$2:$B$11,2,FALSE),0.7)</f>
        <v/>
      </c>
      <c r="F69">
        <f>D69*E69</f>
        <v/>
      </c>
    </row>
    <row r="70">
      <c r="A70" t="inlineStr">
        <is>
          <t>Blue Earth</t>
        </is>
      </c>
      <c r="B70">
        <f>Inputs_State!$B$1</f>
        <v/>
      </c>
      <c r="C70" t="inlineStr">
        <is>
          <t>Incarceration Coordination</t>
        </is>
      </c>
      <c r="D70" t="n">
        <v>12023</v>
      </c>
      <c r="E70">
        <f>IFERROR(VLOOKUP(C70,Weights!$A$2:$B$11,2,FALSE),0.5)</f>
        <v/>
      </c>
      <c r="F70">
        <f>D70*E70</f>
        <v/>
      </c>
    </row>
    <row r="71">
      <c r="A71" t="inlineStr">
        <is>
          <t>Blue Earth</t>
        </is>
      </c>
      <c r="B71">
        <f>Inputs_State!$B$1</f>
        <v/>
      </c>
      <c r="C71" t="inlineStr">
        <is>
          <t>Unlocatable / Skip Work</t>
        </is>
      </c>
      <c r="D71" t="n">
        <v>898</v>
      </c>
      <c r="E71">
        <f>IFERROR(VLOOKUP(C71,Weights!$A$2:$B$11,2,FALSE),0.8)</f>
        <v/>
      </c>
      <c r="F71">
        <f>D71*E71</f>
        <v/>
      </c>
    </row>
    <row r="72">
      <c r="A72" t="inlineStr">
        <is>
          <t>Brown</t>
        </is>
      </c>
      <c r="B72">
        <f>Inputs_State!$B$1</f>
        <v/>
      </c>
      <c r="C72" t="inlineStr">
        <is>
          <t>Standard Case Work</t>
        </is>
      </c>
      <c r="D72" t="n">
        <v>116</v>
      </c>
      <c r="E72">
        <f>IFERROR(VLOOKUP(C72,Weights!$A$2:$B$11,2,FALSE),1)</f>
        <v/>
      </c>
      <c r="F72">
        <f>D72*E72</f>
        <v/>
      </c>
    </row>
    <row r="73">
      <c r="A73" t="inlineStr">
        <is>
          <t>Brown</t>
        </is>
      </c>
      <c r="B73">
        <f>Inputs_State!$B$1</f>
        <v/>
      </c>
      <c r="C73" t="inlineStr">
        <is>
          <t>Full Locate / Long Locate</t>
        </is>
      </c>
      <c r="D73" t="n">
        <v>211</v>
      </c>
      <c r="E73">
        <f>IFERROR(VLOOKUP(C73,Weights!$A$2:$B$11,2,FALSE),2)</f>
        <v/>
      </c>
      <c r="F73">
        <f>D73*E73</f>
        <v/>
      </c>
    </row>
    <row r="74">
      <c r="A74" t="inlineStr">
        <is>
          <t>Brown</t>
        </is>
      </c>
      <c r="B74">
        <f>Inputs_State!$B$1</f>
        <v/>
      </c>
      <c r="C74" t="inlineStr">
        <is>
          <t>METS / Interstate Complexity</t>
        </is>
      </c>
      <c r="D74" t="n">
        <v>66</v>
      </c>
      <c r="E74">
        <f>IFERROR(VLOOKUP(C74,Weights!$A$2:$B$11,2,FALSE),1.5)</f>
        <v/>
      </c>
      <c r="F74">
        <f>D74*E74</f>
        <v/>
      </c>
    </row>
    <row r="75">
      <c r="A75" t="inlineStr">
        <is>
          <t>Brown</t>
        </is>
      </c>
      <c r="B75">
        <f>Inputs_State!$B$1</f>
        <v/>
      </c>
      <c r="C75" t="inlineStr">
        <is>
          <t>Enforcement / R&amp;M Actions</t>
        </is>
      </c>
      <c r="D75" t="n">
        <v>198</v>
      </c>
      <c r="E75">
        <f>IFERROR(VLOOKUP(C75,Weights!$A$2:$B$11,2,FALSE),1.3)</f>
        <v/>
      </c>
      <c r="F75">
        <f>D75*E75</f>
        <v/>
      </c>
    </row>
    <row r="76">
      <c r="A76" t="inlineStr">
        <is>
          <t>Brown</t>
        </is>
      </c>
      <c r="B76">
        <f>Inputs_State!$B$1</f>
        <v/>
      </c>
      <c r="C76" t="inlineStr">
        <is>
          <t>Customer Contacts - Telephone</t>
        </is>
      </c>
      <c r="D76" t="n">
        <v>1481</v>
      </c>
      <c r="E76">
        <f>IFERROR(VLOOKUP(C76,Weights!$A$2:$B$11,2,FALSE),0.2)</f>
        <v/>
      </c>
      <c r="F76">
        <f>D76*E76</f>
        <v/>
      </c>
    </row>
    <row r="77">
      <c r="A77" t="inlineStr">
        <is>
          <t>Brown</t>
        </is>
      </c>
      <c r="B77">
        <f>Inputs_State!$B$1</f>
        <v/>
      </c>
      <c r="C77" t="inlineStr">
        <is>
          <t>Customer Contacts - Email/Portal</t>
        </is>
      </c>
      <c r="D77" t="n">
        <v>9857</v>
      </c>
      <c r="E77">
        <f>IFERROR(VLOOKUP(C77,Weights!$A$2:$B$11,2,FALSE),0.15)</f>
        <v/>
      </c>
      <c r="F77">
        <f>D77*E77</f>
        <v/>
      </c>
    </row>
    <row r="78">
      <c r="A78" t="inlineStr">
        <is>
          <t>Brown</t>
        </is>
      </c>
      <c r="B78">
        <f>Inputs_State!$B$1</f>
        <v/>
      </c>
      <c r="C78" t="inlineStr">
        <is>
          <t>Interpreter/Language Services</t>
        </is>
      </c>
      <c r="D78" t="n">
        <v>801</v>
      </c>
      <c r="E78">
        <f>IFERROR(VLOOKUP(C78,Weights!$A$2:$B$11,2,FALSE),0.6)</f>
        <v/>
      </c>
      <c r="F78">
        <f>D78*E78</f>
        <v/>
      </c>
    </row>
    <row r="79">
      <c r="A79" t="inlineStr">
        <is>
          <t>Brown</t>
        </is>
      </c>
      <c r="B79">
        <f>Inputs_State!$B$1</f>
        <v/>
      </c>
      <c r="C79" t="inlineStr">
        <is>
          <t>Safety / High Risk Handling</t>
        </is>
      </c>
      <c r="D79" t="n">
        <v>110</v>
      </c>
      <c r="E79">
        <f>IFERROR(VLOOKUP(C79,Weights!$A$2:$B$11,2,FALSE),0.7)</f>
        <v/>
      </c>
      <c r="F79">
        <f>D79*E79</f>
        <v/>
      </c>
    </row>
    <row r="80">
      <c r="A80" t="inlineStr">
        <is>
          <t>Brown</t>
        </is>
      </c>
      <c r="B80">
        <f>Inputs_State!$B$1</f>
        <v/>
      </c>
      <c r="C80" t="inlineStr">
        <is>
          <t>Incarceration Coordination</t>
        </is>
      </c>
      <c r="D80" t="n">
        <v>2660</v>
      </c>
      <c r="E80">
        <f>IFERROR(VLOOKUP(C80,Weights!$A$2:$B$11,2,FALSE),0.5)</f>
        <v/>
      </c>
      <c r="F80">
        <f>D80*E80</f>
        <v/>
      </c>
    </row>
    <row r="81">
      <c r="A81" t="inlineStr">
        <is>
          <t>Brown</t>
        </is>
      </c>
      <c r="B81">
        <f>Inputs_State!$B$1</f>
        <v/>
      </c>
      <c r="C81" t="inlineStr">
        <is>
          <t>Unlocatable / Skip Work</t>
        </is>
      </c>
      <c r="D81" t="n">
        <v>174</v>
      </c>
      <c r="E81">
        <f>IFERROR(VLOOKUP(C81,Weights!$A$2:$B$11,2,FALSE),0.8)</f>
        <v/>
      </c>
      <c r="F81">
        <f>D81*E81</f>
        <v/>
      </c>
    </row>
    <row r="82">
      <c r="A82" t="inlineStr">
        <is>
          <t>Carlton</t>
        </is>
      </c>
      <c r="B82">
        <f>Inputs_State!$B$1</f>
        <v/>
      </c>
      <c r="C82" t="inlineStr">
        <is>
          <t>Standard Case Work</t>
        </is>
      </c>
      <c r="D82" t="n">
        <v>239</v>
      </c>
      <c r="E82">
        <f>IFERROR(VLOOKUP(C82,Weights!$A$2:$B$11,2,FALSE),1)</f>
        <v/>
      </c>
      <c r="F82">
        <f>D82*E82</f>
        <v/>
      </c>
    </row>
    <row r="83">
      <c r="A83" t="inlineStr">
        <is>
          <t>Carlton</t>
        </is>
      </c>
      <c r="B83">
        <f>Inputs_State!$B$1</f>
        <v/>
      </c>
      <c r="C83" t="inlineStr">
        <is>
          <t>Full Locate / Long Locate</t>
        </is>
      </c>
      <c r="D83" t="n">
        <v>370</v>
      </c>
      <c r="E83">
        <f>IFERROR(VLOOKUP(C83,Weights!$A$2:$B$11,2,FALSE),2)</f>
        <v/>
      </c>
      <c r="F83">
        <f>D83*E83</f>
        <v/>
      </c>
    </row>
    <row r="84">
      <c r="A84" t="inlineStr">
        <is>
          <t>Carlton</t>
        </is>
      </c>
      <c r="B84">
        <f>Inputs_State!$B$1</f>
        <v/>
      </c>
      <c r="C84" t="inlineStr">
        <is>
          <t>METS / Interstate Complexity</t>
        </is>
      </c>
      <c r="D84" t="n">
        <v>112</v>
      </c>
      <c r="E84">
        <f>IFERROR(VLOOKUP(C84,Weights!$A$2:$B$11,2,FALSE),1.5)</f>
        <v/>
      </c>
      <c r="F84">
        <f>D84*E84</f>
        <v/>
      </c>
    </row>
    <row r="85">
      <c r="A85" t="inlineStr">
        <is>
          <t>Carlton</t>
        </is>
      </c>
      <c r="B85">
        <f>Inputs_State!$B$1</f>
        <v/>
      </c>
      <c r="C85" t="inlineStr">
        <is>
          <t>Enforcement / R&amp;M Actions</t>
        </is>
      </c>
      <c r="D85" t="n">
        <v>374</v>
      </c>
      <c r="E85">
        <f>IFERROR(VLOOKUP(C85,Weights!$A$2:$B$11,2,FALSE),1.3)</f>
        <v/>
      </c>
      <c r="F85">
        <f>D85*E85</f>
        <v/>
      </c>
    </row>
    <row r="86">
      <c r="A86" t="inlineStr">
        <is>
          <t>Carlton</t>
        </is>
      </c>
      <c r="B86">
        <f>Inputs_State!$B$1</f>
        <v/>
      </c>
      <c r="C86" t="inlineStr">
        <is>
          <t>Customer Contacts - Telephone</t>
        </is>
      </c>
      <c r="D86" t="n">
        <v>2601</v>
      </c>
      <c r="E86">
        <f>IFERROR(VLOOKUP(C86,Weights!$A$2:$B$11,2,FALSE),0.2)</f>
        <v/>
      </c>
      <c r="F86">
        <f>D86*E86</f>
        <v/>
      </c>
    </row>
    <row r="87">
      <c r="A87" t="inlineStr">
        <is>
          <t>Carlton</t>
        </is>
      </c>
      <c r="B87">
        <f>Inputs_State!$B$1</f>
        <v/>
      </c>
      <c r="C87" t="inlineStr">
        <is>
          <t>Customer Contacts - Email/Portal</t>
        </is>
      </c>
      <c r="D87" t="n">
        <v>16991</v>
      </c>
      <c r="E87">
        <f>IFERROR(VLOOKUP(C87,Weights!$A$2:$B$11,2,FALSE),0.15)</f>
        <v/>
      </c>
      <c r="F87">
        <f>D87*E87</f>
        <v/>
      </c>
    </row>
    <row r="88">
      <c r="A88" t="inlineStr">
        <is>
          <t>Carlton</t>
        </is>
      </c>
      <c r="B88">
        <f>Inputs_State!$B$1</f>
        <v/>
      </c>
      <c r="C88" t="inlineStr">
        <is>
          <t>Interpreter/Language Services</t>
        </is>
      </c>
      <c r="D88" t="n">
        <v>1308</v>
      </c>
      <c r="E88">
        <f>IFERROR(VLOOKUP(C88,Weights!$A$2:$B$11,2,FALSE),0.6)</f>
        <v/>
      </c>
      <c r="F88">
        <f>D88*E88</f>
        <v/>
      </c>
    </row>
    <row r="89">
      <c r="A89" t="inlineStr">
        <is>
          <t>Carlton</t>
        </is>
      </c>
      <c r="B89">
        <f>Inputs_State!$B$1</f>
        <v/>
      </c>
      <c r="C89" t="inlineStr">
        <is>
          <t>Safety / High Risk Handling</t>
        </is>
      </c>
      <c r="D89" t="n">
        <v>212</v>
      </c>
      <c r="E89">
        <f>IFERROR(VLOOKUP(C89,Weights!$A$2:$B$11,2,FALSE),0.7)</f>
        <v/>
      </c>
      <c r="F89">
        <f>D89*E89</f>
        <v/>
      </c>
    </row>
    <row r="90">
      <c r="A90" t="inlineStr">
        <is>
          <t>Carlton</t>
        </is>
      </c>
      <c r="B90">
        <f>Inputs_State!$B$1</f>
        <v/>
      </c>
      <c r="C90" t="inlineStr">
        <is>
          <t>Incarceration Coordination</t>
        </is>
      </c>
      <c r="D90" t="n">
        <v>3715</v>
      </c>
      <c r="E90">
        <f>IFERROR(VLOOKUP(C90,Weights!$A$2:$B$11,2,FALSE),0.5)</f>
        <v/>
      </c>
      <c r="F90">
        <f>D90*E90</f>
        <v/>
      </c>
    </row>
    <row r="91">
      <c r="A91" t="inlineStr">
        <is>
          <t>Carlton</t>
        </is>
      </c>
      <c r="B91">
        <f>Inputs_State!$B$1</f>
        <v/>
      </c>
      <c r="C91" t="inlineStr">
        <is>
          <t>Unlocatable / Skip Work</t>
        </is>
      </c>
      <c r="D91" t="n">
        <v>317</v>
      </c>
      <c r="E91">
        <f>IFERROR(VLOOKUP(C91,Weights!$A$2:$B$11,2,FALSE),0.8)</f>
        <v/>
      </c>
      <c r="F91">
        <f>D91*E91</f>
        <v/>
      </c>
    </row>
    <row r="92">
      <c r="A92" t="inlineStr">
        <is>
          <t>Carver</t>
        </is>
      </c>
      <c r="B92">
        <f>Inputs_State!$B$1</f>
        <v/>
      </c>
      <c r="C92" t="inlineStr">
        <is>
          <t>Standard Case Work</t>
        </is>
      </c>
      <c r="D92" t="n">
        <v>1069</v>
      </c>
      <c r="E92">
        <f>IFERROR(VLOOKUP(C92,Weights!$A$2:$B$11,2,FALSE),1)</f>
        <v/>
      </c>
      <c r="F92">
        <f>D92*E92</f>
        <v/>
      </c>
    </row>
    <row r="93">
      <c r="A93" t="inlineStr">
        <is>
          <t>Carver</t>
        </is>
      </c>
      <c r="B93">
        <f>Inputs_State!$B$1</f>
        <v/>
      </c>
      <c r="C93" t="inlineStr">
        <is>
          <t>Full Locate / Long Locate</t>
        </is>
      </c>
      <c r="D93" t="n">
        <v>1904</v>
      </c>
      <c r="E93">
        <f>IFERROR(VLOOKUP(C93,Weights!$A$2:$B$11,2,FALSE),2)</f>
        <v/>
      </c>
      <c r="F93">
        <f>D93*E93</f>
        <v/>
      </c>
    </row>
    <row r="94">
      <c r="A94" t="inlineStr">
        <is>
          <t>Carver</t>
        </is>
      </c>
      <c r="B94">
        <f>Inputs_State!$B$1</f>
        <v/>
      </c>
      <c r="C94" t="inlineStr">
        <is>
          <t>METS / Interstate Complexity</t>
        </is>
      </c>
      <c r="D94" t="n">
        <v>538</v>
      </c>
      <c r="E94">
        <f>IFERROR(VLOOKUP(C94,Weights!$A$2:$B$11,2,FALSE),1.5)</f>
        <v/>
      </c>
      <c r="F94">
        <f>D94*E94</f>
        <v/>
      </c>
    </row>
    <row r="95">
      <c r="A95" t="inlineStr">
        <is>
          <t>Carver</t>
        </is>
      </c>
      <c r="B95">
        <f>Inputs_State!$B$1</f>
        <v/>
      </c>
      <c r="C95" t="inlineStr">
        <is>
          <t>Enforcement / R&amp;M Actions</t>
        </is>
      </c>
      <c r="D95" t="n">
        <v>1713</v>
      </c>
      <c r="E95">
        <f>IFERROR(VLOOKUP(C95,Weights!$A$2:$B$11,2,FALSE),1.3)</f>
        <v/>
      </c>
      <c r="F95">
        <f>D95*E95</f>
        <v/>
      </c>
    </row>
    <row r="96">
      <c r="A96" t="inlineStr">
        <is>
          <t>Carver</t>
        </is>
      </c>
      <c r="B96">
        <f>Inputs_State!$B$1</f>
        <v/>
      </c>
      <c r="C96" t="inlineStr">
        <is>
          <t>Customer Contacts - Telephone</t>
        </is>
      </c>
      <c r="D96" t="n">
        <v>12924</v>
      </c>
      <c r="E96">
        <f>IFERROR(VLOOKUP(C96,Weights!$A$2:$B$11,2,FALSE),0.2)</f>
        <v/>
      </c>
      <c r="F96">
        <f>D96*E96</f>
        <v/>
      </c>
    </row>
    <row r="97">
      <c r="A97" t="inlineStr">
        <is>
          <t>Carver</t>
        </is>
      </c>
      <c r="B97">
        <f>Inputs_State!$B$1</f>
        <v/>
      </c>
      <c r="C97" t="inlineStr">
        <is>
          <t>Customer Contacts - Email/Portal</t>
        </is>
      </c>
      <c r="D97" t="n">
        <v>68354</v>
      </c>
      <c r="E97">
        <f>IFERROR(VLOOKUP(C97,Weights!$A$2:$B$11,2,FALSE),0.15)</f>
        <v/>
      </c>
      <c r="F97">
        <f>D97*E97</f>
        <v/>
      </c>
    </row>
    <row r="98">
      <c r="A98" t="inlineStr">
        <is>
          <t>Carver</t>
        </is>
      </c>
      <c r="B98">
        <f>Inputs_State!$B$1</f>
        <v/>
      </c>
      <c r="C98" t="inlineStr">
        <is>
          <t>Interpreter/Language Services</t>
        </is>
      </c>
      <c r="D98" t="n">
        <v>6656</v>
      </c>
      <c r="E98">
        <f>IFERROR(VLOOKUP(C98,Weights!$A$2:$B$11,2,FALSE),0.6)</f>
        <v/>
      </c>
      <c r="F98">
        <f>D98*E98</f>
        <v/>
      </c>
    </row>
    <row r="99">
      <c r="A99" t="inlineStr">
        <is>
          <t>Carver</t>
        </is>
      </c>
      <c r="B99">
        <f>Inputs_State!$B$1</f>
        <v/>
      </c>
      <c r="C99" t="inlineStr">
        <is>
          <t>Safety / High Risk Handling</t>
        </is>
      </c>
      <c r="D99" t="n">
        <v>1230</v>
      </c>
      <c r="E99">
        <f>IFERROR(VLOOKUP(C99,Weights!$A$2:$B$11,2,FALSE),0.7)</f>
        <v/>
      </c>
      <c r="F99">
        <f>D99*E99</f>
        <v/>
      </c>
    </row>
    <row r="100">
      <c r="A100" t="inlineStr">
        <is>
          <t>Carver</t>
        </is>
      </c>
      <c r="B100">
        <f>Inputs_State!$B$1</f>
        <v/>
      </c>
      <c r="C100" t="inlineStr">
        <is>
          <t>Incarceration Coordination</t>
        </is>
      </c>
      <c r="D100" t="n">
        <v>19801</v>
      </c>
      <c r="E100">
        <f>IFERROR(VLOOKUP(C100,Weights!$A$2:$B$11,2,FALSE),0.5)</f>
        <v/>
      </c>
      <c r="F100">
        <f>D100*E100</f>
        <v/>
      </c>
    </row>
    <row r="101">
      <c r="A101" t="inlineStr">
        <is>
          <t>Carver</t>
        </is>
      </c>
      <c r="B101">
        <f>Inputs_State!$B$1</f>
        <v/>
      </c>
      <c r="C101" t="inlineStr">
        <is>
          <t>Unlocatable / Skip Work</t>
        </is>
      </c>
      <c r="D101" t="n">
        <v>1296</v>
      </c>
      <c r="E101">
        <f>IFERROR(VLOOKUP(C101,Weights!$A$2:$B$11,2,FALSE),0.8)</f>
        <v/>
      </c>
      <c r="F101">
        <f>D101*E101</f>
        <v/>
      </c>
    </row>
    <row r="102">
      <c r="A102" t="inlineStr">
        <is>
          <t>Cass</t>
        </is>
      </c>
      <c r="B102">
        <f>Inputs_State!$B$1</f>
        <v/>
      </c>
      <c r="C102" t="inlineStr">
        <is>
          <t>Standard Case Work</t>
        </is>
      </c>
      <c r="D102" t="n">
        <v>261</v>
      </c>
      <c r="E102">
        <f>IFERROR(VLOOKUP(C102,Weights!$A$2:$B$11,2,FALSE),1)</f>
        <v/>
      </c>
      <c r="F102">
        <f>D102*E102</f>
        <v/>
      </c>
    </row>
    <row r="103">
      <c r="A103" t="inlineStr">
        <is>
          <t>Cass</t>
        </is>
      </c>
      <c r="B103">
        <f>Inputs_State!$B$1</f>
        <v/>
      </c>
      <c r="C103" t="inlineStr">
        <is>
          <t>Full Locate / Long Locate</t>
        </is>
      </c>
      <c r="D103" t="n">
        <v>574</v>
      </c>
      <c r="E103">
        <f>IFERROR(VLOOKUP(C103,Weights!$A$2:$B$11,2,FALSE),2)</f>
        <v/>
      </c>
      <c r="F103">
        <f>D103*E103</f>
        <v/>
      </c>
    </row>
    <row r="104">
      <c r="A104" t="inlineStr">
        <is>
          <t>Cass</t>
        </is>
      </c>
      <c r="B104">
        <f>Inputs_State!$B$1</f>
        <v/>
      </c>
      <c r="C104" t="inlineStr">
        <is>
          <t>METS / Interstate Complexity</t>
        </is>
      </c>
      <c r="D104" t="n">
        <v>126</v>
      </c>
      <c r="E104">
        <f>IFERROR(VLOOKUP(C104,Weights!$A$2:$B$11,2,FALSE),1.5)</f>
        <v/>
      </c>
      <c r="F104">
        <f>D104*E104</f>
        <v/>
      </c>
    </row>
    <row r="105">
      <c r="A105" t="inlineStr">
        <is>
          <t>Cass</t>
        </is>
      </c>
      <c r="B105">
        <f>Inputs_State!$B$1</f>
        <v/>
      </c>
      <c r="C105" t="inlineStr">
        <is>
          <t>Enforcement / R&amp;M Actions</t>
        </is>
      </c>
      <c r="D105" t="n">
        <v>435</v>
      </c>
      <c r="E105">
        <f>IFERROR(VLOOKUP(C105,Weights!$A$2:$B$11,2,FALSE),1.3)</f>
        <v/>
      </c>
      <c r="F105">
        <f>D105*E105</f>
        <v/>
      </c>
    </row>
    <row r="106">
      <c r="A106" t="inlineStr">
        <is>
          <t>Cass</t>
        </is>
      </c>
      <c r="B106">
        <f>Inputs_State!$B$1</f>
        <v/>
      </c>
      <c r="C106" t="inlineStr">
        <is>
          <t>Customer Contacts - Telephone</t>
        </is>
      </c>
      <c r="D106" t="n">
        <v>3175</v>
      </c>
      <c r="E106">
        <f>IFERROR(VLOOKUP(C106,Weights!$A$2:$B$11,2,FALSE),0.2)</f>
        <v/>
      </c>
      <c r="F106">
        <f>D106*E106</f>
        <v/>
      </c>
    </row>
    <row r="107">
      <c r="A107" t="inlineStr">
        <is>
          <t>Cass</t>
        </is>
      </c>
      <c r="B107">
        <f>Inputs_State!$B$1</f>
        <v/>
      </c>
      <c r="C107" t="inlineStr">
        <is>
          <t>Customer Contacts - Email/Portal</t>
        </is>
      </c>
      <c r="D107" t="n">
        <v>22708</v>
      </c>
      <c r="E107">
        <f>IFERROR(VLOOKUP(C107,Weights!$A$2:$B$11,2,FALSE),0.15)</f>
        <v/>
      </c>
      <c r="F107">
        <f>D107*E107</f>
        <v/>
      </c>
    </row>
    <row r="108">
      <c r="A108" t="inlineStr">
        <is>
          <t>Cass</t>
        </is>
      </c>
      <c r="B108">
        <f>Inputs_State!$B$1</f>
        <v/>
      </c>
      <c r="C108" t="inlineStr">
        <is>
          <t>Interpreter/Language Services</t>
        </is>
      </c>
      <c r="D108" t="n">
        <v>1683</v>
      </c>
      <c r="E108">
        <f>IFERROR(VLOOKUP(C108,Weights!$A$2:$B$11,2,FALSE),0.6)</f>
        <v/>
      </c>
      <c r="F108">
        <f>D108*E108</f>
        <v/>
      </c>
    </row>
    <row r="109">
      <c r="A109" t="inlineStr">
        <is>
          <t>Cass</t>
        </is>
      </c>
      <c r="B109">
        <f>Inputs_State!$B$1</f>
        <v/>
      </c>
      <c r="C109" t="inlineStr">
        <is>
          <t>Safety / High Risk Handling</t>
        </is>
      </c>
      <c r="D109" t="n">
        <v>270</v>
      </c>
      <c r="E109">
        <f>IFERROR(VLOOKUP(C109,Weights!$A$2:$B$11,2,FALSE),0.7)</f>
        <v/>
      </c>
      <c r="F109">
        <f>D109*E109</f>
        <v/>
      </c>
    </row>
    <row r="110">
      <c r="A110" t="inlineStr">
        <is>
          <t>Cass</t>
        </is>
      </c>
      <c r="B110">
        <f>Inputs_State!$B$1</f>
        <v/>
      </c>
      <c r="C110" t="inlineStr">
        <is>
          <t>Incarceration Coordination</t>
        </is>
      </c>
      <c r="D110" t="n">
        <v>5109</v>
      </c>
      <c r="E110">
        <f>IFERROR(VLOOKUP(C110,Weights!$A$2:$B$11,2,FALSE),0.5)</f>
        <v/>
      </c>
      <c r="F110">
        <f>D110*E110</f>
        <v/>
      </c>
    </row>
    <row r="111">
      <c r="A111" t="inlineStr">
        <is>
          <t>Cass</t>
        </is>
      </c>
      <c r="B111">
        <f>Inputs_State!$B$1</f>
        <v/>
      </c>
      <c r="C111" t="inlineStr">
        <is>
          <t>Unlocatable / Skip Work</t>
        </is>
      </c>
      <c r="D111" t="n">
        <v>418</v>
      </c>
      <c r="E111">
        <f>IFERROR(VLOOKUP(C111,Weights!$A$2:$B$11,2,FALSE),0.8)</f>
        <v/>
      </c>
      <c r="F111">
        <f>D111*E111</f>
        <v/>
      </c>
    </row>
    <row r="112">
      <c r="A112" t="inlineStr">
        <is>
          <t>Chippewa</t>
        </is>
      </c>
      <c r="B112">
        <f>Inputs_State!$B$1</f>
        <v/>
      </c>
      <c r="C112" t="inlineStr">
        <is>
          <t>Standard Case Work</t>
        </is>
      </c>
      <c r="D112" t="n">
        <v>124</v>
      </c>
      <c r="E112">
        <f>IFERROR(VLOOKUP(C112,Weights!$A$2:$B$11,2,FALSE),1)</f>
        <v/>
      </c>
      <c r="F112">
        <f>D112*E112</f>
        <v/>
      </c>
    </row>
    <row r="113">
      <c r="A113" t="inlineStr">
        <is>
          <t>Chippewa</t>
        </is>
      </c>
      <c r="B113">
        <f>Inputs_State!$B$1</f>
        <v/>
      </c>
      <c r="C113" t="inlineStr">
        <is>
          <t>Full Locate / Long Locate</t>
        </is>
      </c>
      <c r="D113" t="n">
        <v>219</v>
      </c>
      <c r="E113">
        <f>IFERROR(VLOOKUP(C113,Weights!$A$2:$B$11,2,FALSE),2)</f>
        <v/>
      </c>
      <c r="F113">
        <f>D113*E113</f>
        <v/>
      </c>
    </row>
    <row r="114">
      <c r="A114" t="inlineStr">
        <is>
          <t>Chippewa</t>
        </is>
      </c>
      <c r="B114">
        <f>Inputs_State!$B$1</f>
        <v/>
      </c>
      <c r="C114" t="inlineStr">
        <is>
          <t>METS / Interstate Complexity</t>
        </is>
      </c>
      <c r="D114" t="n">
        <v>62</v>
      </c>
      <c r="E114">
        <f>IFERROR(VLOOKUP(C114,Weights!$A$2:$B$11,2,FALSE),1.5)</f>
        <v/>
      </c>
      <c r="F114">
        <f>D114*E114</f>
        <v/>
      </c>
    </row>
    <row r="115">
      <c r="A115" t="inlineStr">
        <is>
          <t>Chippewa</t>
        </is>
      </c>
      <c r="B115">
        <f>Inputs_State!$B$1</f>
        <v/>
      </c>
      <c r="C115" t="inlineStr">
        <is>
          <t>Enforcement / R&amp;M Actions</t>
        </is>
      </c>
      <c r="D115" t="n">
        <v>185</v>
      </c>
      <c r="E115">
        <f>IFERROR(VLOOKUP(C115,Weights!$A$2:$B$11,2,FALSE),1.3)</f>
        <v/>
      </c>
      <c r="F115">
        <f>D115*E115</f>
        <v/>
      </c>
    </row>
    <row r="116">
      <c r="A116" t="inlineStr">
        <is>
          <t>Chippewa</t>
        </is>
      </c>
      <c r="B116">
        <f>Inputs_State!$B$1</f>
        <v/>
      </c>
      <c r="C116" t="inlineStr">
        <is>
          <t>Customer Contacts - Telephone</t>
        </is>
      </c>
      <c r="D116" t="n">
        <v>1408</v>
      </c>
      <c r="E116">
        <f>IFERROR(VLOOKUP(C116,Weights!$A$2:$B$11,2,FALSE),0.2)</f>
        <v/>
      </c>
      <c r="F116">
        <f>D116*E116</f>
        <v/>
      </c>
    </row>
    <row r="117">
      <c r="A117" t="inlineStr">
        <is>
          <t>Chippewa</t>
        </is>
      </c>
      <c r="B117">
        <f>Inputs_State!$B$1</f>
        <v/>
      </c>
      <c r="C117" t="inlineStr">
        <is>
          <t>Customer Contacts - Email/Portal</t>
        </is>
      </c>
      <c r="D117" t="n">
        <v>9987</v>
      </c>
      <c r="E117">
        <f>IFERROR(VLOOKUP(C117,Weights!$A$2:$B$11,2,FALSE),0.15)</f>
        <v/>
      </c>
      <c r="F117">
        <f>D117*E117</f>
        <v/>
      </c>
    </row>
    <row r="118">
      <c r="A118" t="inlineStr">
        <is>
          <t>Chippewa</t>
        </is>
      </c>
      <c r="B118">
        <f>Inputs_State!$B$1</f>
        <v/>
      </c>
      <c r="C118" t="inlineStr">
        <is>
          <t>Interpreter/Language Services</t>
        </is>
      </c>
      <c r="D118" t="n">
        <v>762</v>
      </c>
      <c r="E118">
        <f>IFERROR(VLOOKUP(C118,Weights!$A$2:$B$11,2,FALSE),0.6)</f>
        <v/>
      </c>
      <c r="F118">
        <f>D118*E118</f>
        <v/>
      </c>
    </row>
    <row r="119">
      <c r="A119" t="inlineStr">
        <is>
          <t>Chippewa</t>
        </is>
      </c>
      <c r="B119">
        <f>Inputs_State!$B$1</f>
        <v/>
      </c>
      <c r="C119" t="inlineStr">
        <is>
          <t>Safety / High Risk Handling</t>
        </is>
      </c>
      <c r="D119" t="n">
        <v>124</v>
      </c>
      <c r="E119">
        <f>IFERROR(VLOOKUP(C119,Weights!$A$2:$B$11,2,FALSE),0.7)</f>
        <v/>
      </c>
      <c r="F119">
        <f>D119*E119</f>
        <v/>
      </c>
    </row>
    <row r="120">
      <c r="A120" t="inlineStr">
        <is>
          <t>Chippewa</t>
        </is>
      </c>
      <c r="B120">
        <f>Inputs_State!$B$1</f>
        <v/>
      </c>
      <c r="C120" t="inlineStr">
        <is>
          <t>Incarceration Coordination</t>
        </is>
      </c>
      <c r="D120" t="n">
        <v>2380</v>
      </c>
      <c r="E120">
        <f>IFERROR(VLOOKUP(C120,Weights!$A$2:$B$11,2,FALSE),0.5)</f>
        <v/>
      </c>
      <c r="F120">
        <f>D120*E120</f>
        <v/>
      </c>
    </row>
    <row r="121">
      <c r="A121" t="inlineStr">
        <is>
          <t>Chippewa</t>
        </is>
      </c>
      <c r="B121">
        <f>Inputs_State!$B$1</f>
        <v/>
      </c>
      <c r="C121" t="inlineStr">
        <is>
          <t>Unlocatable / Skip Work</t>
        </is>
      </c>
      <c r="D121" t="n">
        <v>184</v>
      </c>
      <c r="E121">
        <f>IFERROR(VLOOKUP(C121,Weights!$A$2:$B$11,2,FALSE),0.8)</f>
        <v/>
      </c>
      <c r="F121">
        <f>D121*E121</f>
        <v/>
      </c>
    </row>
    <row r="122">
      <c r="A122" t="inlineStr">
        <is>
          <t>Chisago</t>
        </is>
      </c>
      <c r="B122">
        <f>Inputs_State!$B$1</f>
        <v/>
      </c>
      <c r="C122" t="inlineStr">
        <is>
          <t>Standard Case Work</t>
        </is>
      </c>
      <c r="D122" t="n">
        <v>764</v>
      </c>
      <c r="E122">
        <f>IFERROR(VLOOKUP(C122,Weights!$A$2:$B$11,2,FALSE),1)</f>
        <v/>
      </c>
      <c r="F122">
        <f>D122*E122</f>
        <v/>
      </c>
    </row>
    <row r="123">
      <c r="A123" t="inlineStr">
        <is>
          <t>Chisago</t>
        </is>
      </c>
      <c r="B123">
        <f>Inputs_State!$B$1</f>
        <v/>
      </c>
      <c r="C123" t="inlineStr">
        <is>
          <t>Full Locate / Long Locate</t>
        </is>
      </c>
      <c r="D123" t="n">
        <v>1026</v>
      </c>
      <c r="E123">
        <f>IFERROR(VLOOKUP(C123,Weights!$A$2:$B$11,2,FALSE),2)</f>
        <v/>
      </c>
      <c r="F123">
        <f>D123*E123</f>
        <v/>
      </c>
    </row>
    <row r="124">
      <c r="A124" t="inlineStr">
        <is>
          <t>Chisago</t>
        </is>
      </c>
      <c r="B124">
        <f>Inputs_State!$B$1</f>
        <v/>
      </c>
      <c r="C124" t="inlineStr">
        <is>
          <t>METS / Interstate Complexity</t>
        </is>
      </c>
      <c r="D124" t="n">
        <v>341</v>
      </c>
      <c r="E124">
        <f>IFERROR(VLOOKUP(C124,Weights!$A$2:$B$11,2,FALSE),1.5)</f>
        <v/>
      </c>
      <c r="F124">
        <f>D124*E124</f>
        <v/>
      </c>
    </row>
    <row r="125">
      <c r="A125" t="inlineStr">
        <is>
          <t>Chisago</t>
        </is>
      </c>
      <c r="B125">
        <f>Inputs_State!$B$1</f>
        <v/>
      </c>
      <c r="C125" t="inlineStr">
        <is>
          <t>Enforcement / R&amp;M Actions</t>
        </is>
      </c>
      <c r="D125" t="n">
        <v>1023</v>
      </c>
      <c r="E125">
        <f>IFERROR(VLOOKUP(C125,Weights!$A$2:$B$11,2,FALSE),1.3)</f>
        <v/>
      </c>
      <c r="F125">
        <f>D125*E125</f>
        <v/>
      </c>
    </row>
    <row r="126">
      <c r="A126" t="inlineStr">
        <is>
          <t>Chisago</t>
        </is>
      </c>
      <c r="B126">
        <f>Inputs_State!$B$1</f>
        <v/>
      </c>
      <c r="C126" t="inlineStr">
        <is>
          <t>Customer Contacts - Telephone</t>
        </is>
      </c>
      <c r="D126" t="n">
        <v>6454</v>
      </c>
      <c r="E126">
        <f>IFERROR(VLOOKUP(C126,Weights!$A$2:$B$11,2,FALSE),0.2)</f>
        <v/>
      </c>
      <c r="F126">
        <f>D126*E126</f>
        <v/>
      </c>
    </row>
    <row r="127">
      <c r="A127" t="inlineStr">
        <is>
          <t>Chisago</t>
        </is>
      </c>
      <c r="B127">
        <f>Inputs_State!$B$1</f>
        <v/>
      </c>
      <c r="C127" t="inlineStr">
        <is>
          <t>Customer Contacts - Email/Portal</t>
        </is>
      </c>
      <c r="D127" t="n">
        <v>40550</v>
      </c>
      <c r="E127">
        <f>IFERROR(VLOOKUP(C127,Weights!$A$2:$B$11,2,FALSE),0.15)</f>
        <v/>
      </c>
      <c r="F127">
        <f>D127*E127</f>
        <v/>
      </c>
    </row>
    <row r="128">
      <c r="A128" t="inlineStr">
        <is>
          <t>Chisago</t>
        </is>
      </c>
      <c r="B128">
        <f>Inputs_State!$B$1</f>
        <v/>
      </c>
      <c r="C128" t="inlineStr">
        <is>
          <t>Interpreter/Language Services</t>
        </is>
      </c>
      <c r="D128" t="n">
        <v>3798</v>
      </c>
      <c r="E128">
        <f>IFERROR(VLOOKUP(C128,Weights!$A$2:$B$11,2,FALSE),0.6)</f>
        <v/>
      </c>
      <c r="F128">
        <f>D128*E128</f>
        <v/>
      </c>
    </row>
    <row r="129">
      <c r="A129" t="inlineStr">
        <is>
          <t>Chisago</t>
        </is>
      </c>
      <c r="B129">
        <f>Inputs_State!$B$1</f>
        <v/>
      </c>
      <c r="C129" t="inlineStr">
        <is>
          <t>Safety / High Risk Handling</t>
        </is>
      </c>
      <c r="D129" t="n">
        <v>598</v>
      </c>
      <c r="E129">
        <f>IFERROR(VLOOKUP(C129,Weights!$A$2:$B$11,2,FALSE),0.7)</f>
        <v/>
      </c>
      <c r="F129">
        <f>D129*E129</f>
        <v/>
      </c>
    </row>
    <row r="130">
      <c r="A130" t="inlineStr">
        <is>
          <t>Chisago</t>
        </is>
      </c>
      <c r="B130">
        <f>Inputs_State!$B$1</f>
        <v/>
      </c>
      <c r="C130" t="inlineStr">
        <is>
          <t>Incarceration Coordination</t>
        </is>
      </c>
      <c r="D130" t="n">
        <v>12749</v>
      </c>
      <c r="E130">
        <f>IFERROR(VLOOKUP(C130,Weights!$A$2:$B$11,2,FALSE),0.5)</f>
        <v/>
      </c>
      <c r="F130">
        <f>D130*E130</f>
        <v/>
      </c>
    </row>
    <row r="131">
      <c r="A131" t="inlineStr">
        <is>
          <t>Chisago</t>
        </is>
      </c>
      <c r="B131">
        <f>Inputs_State!$B$1</f>
        <v/>
      </c>
      <c r="C131" t="inlineStr">
        <is>
          <t>Unlocatable / Skip Work</t>
        </is>
      </c>
      <c r="D131" t="n">
        <v>875</v>
      </c>
      <c r="E131">
        <f>IFERROR(VLOOKUP(C131,Weights!$A$2:$B$11,2,FALSE),0.8)</f>
        <v/>
      </c>
      <c r="F131">
        <f>D131*E131</f>
        <v/>
      </c>
    </row>
    <row r="132">
      <c r="A132" t="inlineStr">
        <is>
          <t>Clay</t>
        </is>
      </c>
      <c r="B132">
        <f>Inputs_State!$B$1</f>
        <v/>
      </c>
      <c r="C132" t="inlineStr">
        <is>
          <t>Standard Case Work</t>
        </is>
      </c>
      <c r="D132" t="n">
        <v>391</v>
      </c>
      <c r="E132">
        <f>IFERROR(VLOOKUP(C132,Weights!$A$2:$B$11,2,FALSE),1)</f>
        <v/>
      </c>
      <c r="F132">
        <f>D132*E132</f>
        <v/>
      </c>
    </row>
    <row r="133">
      <c r="A133" t="inlineStr">
        <is>
          <t>Clay</t>
        </is>
      </c>
      <c r="B133">
        <f>Inputs_State!$B$1</f>
        <v/>
      </c>
      <c r="C133" t="inlineStr">
        <is>
          <t>Full Locate / Long Locate</t>
        </is>
      </c>
      <c r="D133" t="n">
        <v>747</v>
      </c>
      <c r="E133">
        <f>IFERROR(VLOOKUP(C133,Weights!$A$2:$B$11,2,FALSE),2)</f>
        <v/>
      </c>
      <c r="F133">
        <f>D133*E133</f>
        <v/>
      </c>
    </row>
    <row r="134">
      <c r="A134" t="inlineStr">
        <is>
          <t>Clay</t>
        </is>
      </c>
      <c r="B134">
        <f>Inputs_State!$B$1</f>
        <v/>
      </c>
      <c r="C134" t="inlineStr">
        <is>
          <t>METS / Interstate Complexity</t>
        </is>
      </c>
      <c r="D134" t="n">
        <v>185</v>
      </c>
      <c r="E134">
        <f>IFERROR(VLOOKUP(C134,Weights!$A$2:$B$11,2,FALSE),1.5)</f>
        <v/>
      </c>
      <c r="F134">
        <f>D134*E134</f>
        <v/>
      </c>
    </row>
    <row r="135">
      <c r="A135" t="inlineStr">
        <is>
          <t>Clay</t>
        </is>
      </c>
      <c r="B135">
        <f>Inputs_State!$B$1</f>
        <v/>
      </c>
      <c r="C135" t="inlineStr">
        <is>
          <t>Enforcement / R&amp;M Actions</t>
        </is>
      </c>
      <c r="D135" t="n">
        <v>678</v>
      </c>
      <c r="E135">
        <f>IFERROR(VLOOKUP(C135,Weights!$A$2:$B$11,2,FALSE),1.3)</f>
        <v/>
      </c>
      <c r="F135">
        <f>D135*E135</f>
        <v/>
      </c>
    </row>
    <row r="136">
      <c r="A136" t="inlineStr">
        <is>
          <t>Clay</t>
        </is>
      </c>
      <c r="B136">
        <f>Inputs_State!$B$1</f>
        <v/>
      </c>
      <c r="C136" t="inlineStr">
        <is>
          <t>Customer Contacts - Telephone</t>
        </is>
      </c>
      <c r="D136" t="n">
        <v>4259</v>
      </c>
      <c r="E136">
        <f>IFERROR(VLOOKUP(C136,Weights!$A$2:$B$11,2,FALSE),0.2)</f>
        <v/>
      </c>
      <c r="F136">
        <f>D136*E136</f>
        <v/>
      </c>
    </row>
    <row r="137">
      <c r="A137" t="inlineStr">
        <is>
          <t>Clay</t>
        </is>
      </c>
      <c r="B137">
        <f>Inputs_State!$B$1</f>
        <v/>
      </c>
      <c r="C137" t="inlineStr">
        <is>
          <t>Customer Contacts - Email/Portal</t>
        </is>
      </c>
      <c r="D137" t="n">
        <v>25956</v>
      </c>
      <c r="E137">
        <f>IFERROR(VLOOKUP(C137,Weights!$A$2:$B$11,2,FALSE),0.15)</f>
        <v/>
      </c>
      <c r="F137">
        <f>D137*E137</f>
        <v/>
      </c>
    </row>
    <row r="138">
      <c r="A138" t="inlineStr">
        <is>
          <t>Clay</t>
        </is>
      </c>
      <c r="B138">
        <f>Inputs_State!$B$1</f>
        <v/>
      </c>
      <c r="C138" t="inlineStr">
        <is>
          <t>Interpreter/Language Services</t>
        </is>
      </c>
      <c r="D138" t="n">
        <v>2394</v>
      </c>
      <c r="E138">
        <f>IFERROR(VLOOKUP(C138,Weights!$A$2:$B$11,2,FALSE),0.6)</f>
        <v/>
      </c>
      <c r="F138">
        <f>D138*E138</f>
        <v/>
      </c>
    </row>
    <row r="139">
      <c r="A139" t="inlineStr">
        <is>
          <t>Clay</t>
        </is>
      </c>
      <c r="B139">
        <f>Inputs_State!$B$1</f>
        <v/>
      </c>
      <c r="C139" t="inlineStr">
        <is>
          <t>Safety / High Risk Handling</t>
        </is>
      </c>
      <c r="D139" t="n">
        <v>446</v>
      </c>
      <c r="E139">
        <f>IFERROR(VLOOKUP(C139,Weights!$A$2:$B$11,2,FALSE),0.7)</f>
        <v/>
      </c>
      <c r="F139">
        <f>D139*E139</f>
        <v/>
      </c>
    </row>
    <row r="140">
      <c r="A140" t="inlineStr">
        <is>
          <t>Clay</t>
        </is>
      </c>
      <c r="B140">
        <f>Inputs_State!$B$1</f>
        <v/>
      </c>
      <c r="C140" t="inlineStr">
        <is>
          <t>Incarceration Coordination</t>
        </is>
      </c>
      <c r="D140" t="n">
        <v>6741</v>
      </c>
      <c r="E140">
        <f>IFERROR(VLOOKUP(C140,Weights!$A$2:$B$11,2,FALSE),0.5)</f>
        <v/>
      </c>
      <c r="F140">
        <f>D140*E140</f>
        <v/>
      </c>
    </row>
    <row r="141">
      <c r="A141" t="inlineStr">
        <is>
          <t>Clay</t>
        </is>
      </c>
      <c r="B141">
        <f>Inputs_State!$B$1</f>
        <v/>
      </c>
      <c r="C141" t="inlineStr">
        <is>
          <t>Unlocatable / Skip Work</t>
        </is>
      </c>
      <c r="D141" t="n">
        <v>569</v>
      </c>
      <c r="E141">
        <f>IFERROR(VLOOKUP(C141,Weights!$A$2:$B$11,2,FALSE),0.8)</f>
        <v/>
      </c>
      <c r="F141">
        <f>D141*E141</f>
        <v/>
      </c>
    </row>
    <row r="142">
      <c r="A142" t="inlineStr">
        <is>
          <t>Clearwater</t>
        </is>
      </c>
      <c r="B142">
        <f>Inputs_State!$B$1</f>
        <v/>
      </c>
      <c r="C142" t="inlineStr">
        <is>
          <t>Standard Case Work</t>
        </is>
      </c>
      <c r="D142" t="n">
        <v>179</v>
      </c>
      <c r="E142">
        <f>IFERROR(VLOOKUP(C142,Weights!$A$2:$B$11,2,FALSE),1)</f>
        <v/>
      </c>
      <c r="F142">
        <f>D142*E142</f>
        <v/>
      </c>
    </row>
    <row r="143">
      <c r="A143" t="inlineStr">
        <is>
          <t>Clearwater</t>
        </is>
      </c>
      <c r="B143">
        <f>Inputs_State!$B$1</f>
        <v/>
      </c>
      <c r="C143" t="inlineStr">
        <is>
          <t>Full Locate / Long Locate</t>
        </is>
      </c>
      <c r="D143" t="n">
        <v>298</v>
      </c>
      <c r="E143">
        <f>IFERROR(VLOOKUP(C143,Weights!$A$2:$B$11,2,FALSE),2)</f>
        <v/>
      </c>
      <c r="F143">
        <f>D143*E143</f>
        <v/>
      </c>
    </row>
    <row r="144">
      <c r="A144" t="inlineStr">
        <is>
          <t>Clearwater</t>
        </is>
      </c>
      <c r="B144">
        <f>Inputs_State!$B$1</f>
        <v/>
      </c>
      <c r="C144" t="inlineStr">
        <is>
          <t>METS / Interstate Complexity</t>
        </is>
      </c>
      <c r="D144" t="n">
        <v>80</v>
      </c>
      <c r="E144">
        <f>IFERROR(VLOOKUP(C144,Weights!$A$2:$B$11,2,FALSE),1.5)</f>
        <v/>
      </c>
      <c r="F144">
        <f>D144*E144</f>
        <v/>
      </c>
    </row>
    <row r="145">
      <c r="A145" t="inlineStr">
        <is>
          <t>Clearwater</t>
        </is>
      </c>
      <c r="B145">
        <f>Inputs_State!$B$1</f>
        <v/>
      </c>
      <c r="C145" t="inlineStr">
        <is>
          <t>Enforcement / R&amp;M Actions</t>
        </is>
      </c>
      <c r="D145" t="n">
        <v>277</v>
      </c>
      <c r="E145">
        <f>IFERROR(VLOOKUP(C145,Weights!$A$2:$B$11,2,FALSE),1.3)</f>
        <v/>
      </c>
      <c r="F145">
        <f>D145*E145</f>
        <v/>
      </c>
    </row>
    <row r="146">
      <c r="A146" t="inlineStr">
        <is>
          <t>Clearwater</t>
        </is>
      </c>
      <c r="B146">
        <f>Inputs_State!$B$1</f>
        <v/>
      </c>
      <c r="C146" t="inlineStr">
        <is>
          <t>Customer Contacts - Telephone</t>
        </is>
      </c>
      <c r="D146" t="n">
        <v>1651</v>
      </c>
      <c r="E146">
        <f>IFERROR(VLOOKUP(C146,Weights!$A$2:$B$11,2,FALSE),0.2)</f>
        <v/>
      </c>
      <c r="F146">
        <f>D146*E146</f>
        <v/>
      </c>
    </row>
    <row r="147">
      <c r="A147" t="inlineStr">
        <is>
          <t>Clearwater</t>
        </is>
      </c>
      <c r="B147">
        <f>Inputs_State!$B$1</f>
        <v/>
      </c>
      <c r="C147" t="inlineStr">
        <is>
          <t>Customer Contacts - Email/Portal</t>
        </is>
      </c>
      <c r="D147" t="n">
        <v>11890</v>
      </c>
      <c r="E147">
        <f>IFERROR(VLOOKUP(C147,Weights!$A$2:$B$11,2,FALSE),0.15)</f>
        <v/>
      </c>
      <c r="F147">
        <f>D147*E147</f>
        <v/>
      </c>
    </row>
    <row r="148">
      <c r="A148" t="inlineStr">
        <is>
          <t>Clearwater</t>
        </is>
      </c>
      <c r="B148">
        <f>Inputs_State!$B$1</f>
        <v/>
      </c>
      <c r="C148" t="inlineStr">
        <is>
          <t>Interpreter/Language Services</t>
        </is>
      </c>
      <c r="D148" t="n">
        <v>1024</v>
      </c>
      <c r="E148">
        <f>IFERROR(VLOOKUP(C148,Weights!$A$2:$B$11,2,FALSE),0.6)</f>
        <v/>
      </c>
      <c r="F148">
        <f>D148*E148</f>
        <v/>
      </c>
    </row>
    <row r="149">
      <c r="A149" t="inlineStr">
        <is>
          <t>Clearwater</t>
        </is>
      </c>
      <c r="B149">
        <f>Inputs_State!$B$1</f>
        <v/>
      </c>
      <c r="C149" t="inlineStr">
        <is>
          <t>Safety / High Risk Handling</t>
        </is>
      </c>
      <c r="D149" t="n">
        <v>181</v>
      </c>
      <c r="E149">
        <f>IFERROR(VLOOKUP(C149,Weights!$A$2:$B$11,2,FALSE),0.7)</f>
        <v/>
      </c>
      <c r="F149">
        <f>D149*E149</f>
        <v/>
      </c>
    </row>
    <row r="150">
      <c r="A150" t="inlineStr">
        <is>
          <t>Clearwater</t>
        </is>
      </c>
      <c r="B150">
        <f>Inputs_State!$B$1</f>
        <v/>
      </c>
      <c r="C150" t="inlineStr">
        <is>
          <t>Incarceration Coordination</t>
        </is>
      </c>
      <c r="D150" t="n">
        <v>3398</v>
      </c>
      <c r="E150">
        <f>IFERROR(VLOOKUP(C150,Weights!$A$2:$B$11,2,FALSE),0.5)</f>
        <v/>
      </c>
      <c r="F150">
        <f>D150*E150</f>
        <v/>
      </c>
    </row>
    <row r="151">
      <c r="A151" t="inlineStr">
        <is>
          <t>Clearwater</t>
        </is>
      </c>
      <c r="B151">
        <f>Inputs_State!$B$1</f>
        <v/>
      </c>
      <c r="C151" t="inlineStr">
        <is>
          <t>Unlocatable / Skip Work</t>
        </is>
      </c>
      <c r="D151" t="n">
        <v>242</v>
      </c>
      <c r="E151">
        <f>IFERROR(VLOOKUP(C151,Weights!$A$2:$B$11,2,FALSE),0.8)</f>
        <v/>
      </c>
      <c r="F151">
        <f>D151*E151</f>
        <v/>
      </c>
    </row>
    <row r="152">
      <c r="A152" t="inlineStr">
        <is>
          <t>Cook</t>
        </is>
      </c>
      <c r="B152">
        <f>Inputs_State!$B$1</f>
        <v/>
      </c>
      <c r="C152" t="inlineStr">
        <is>
          <t>Standard Case Work</t>
        </is>
      </c>
      <c r="D152" t="n">
        <v>97</v>
      </c>
      <c r="E152">
        <f>IFERROR(VLOOKUP(C152,Weights!$A$2:$B$11,2,FALSE),1)</f>
        <v/>
      </c>
      <c r="F152">
        <f>D152*E152</f>
        <v/>
      </c>
    </row>
    <row r="153">
      <c r="A153" t="inlineStr">
        <is>
          <t>Cook</t>
        </is>
      </c>
      <c r="B153">
        <f>Inputs_State!$B$1</f>
        <v/>
      </c>
      <c r="C153" t="inlineStr">
        <is>
          <t>Full Locate / Long Locate</t>
        </is>
      </c>
      <c r="D153" t="n">
        <v>183</v>
      </c>
      <c r="E153">
        <f>IFERROR(VLOOKUP(C153,Weights!$A$2:$B$11,2,FALSE),2)</f>
        <v/>
      </c>
      <c r="F153">
        <f>D153*E153</f>
        <v/>
      </c>
    </row>
    <row r="154">
      <c r="A154" t="inlineStr">
        <is>
          <t>Cook</t>
        </is>
      </c>
      <c r="B154">
        <f>Inputs_State!$B$1</f>
        <v/>
      </c>
      <c r="C154" t="inlineStr">
        <is>
          <t>METS / Interstate Complexity</t>
        </is>
      </c>
      <c r="D154" t="n">
        <v>45</v>
      </c>
      <c r="E154">
        <f>IFERROR(VLOOKUP(C154,Weights!$A$2:$B$11,2,FALSE),1.5)</f>
        <v/>
      </c>
      <c r="F154">
        <f>D154*E154</f>
        <v/>
      </c>
    </row>
    <row r="155">
      <c r="A155" t="inlineStr">
        <is>
          <t>Cook</t>
        </is>
      </c>
      <c r="B155">
        <f>Inputs_State!$B$1</f>
        <v/>
      </c>
      <c r="C155" t="inlineStr">
        <is>
          <t>Enforcement / R&amp;M Actions</t>
        </is>
      </c>
      <c r="D155" t="n">
        <v>162</v>
      </c>
      <c r="E155">
        <f>IFERROR(VLOOKUP(C155,Weights!$A$2:$B$11,2,FALSE),1.3)</f>
        <v/>
      </c>
      <c r="F155">
        <f>D155*E155</f>
        <v/>
      </c>
    </row>
    <row r="156">
      <c r="A156" t="inlineStr">
        <is>
          <t>Cook</t>
        </is>
      </c>
      <c r="B156">
        <f>Inputs_State!$B$1</f>
        <v/>
      </c>
      <c r="C156" t="inlineStr">
        <is>
          <t>Customer Contacts - Telephone</t>
        </is>
      </c>
      <c r="D156" t="n">
        <v>1008</v>
      </c>
      <c r="E156">
        <f>IFERROR(VLOOKUP(C156,Weights!$A$2:$B$11,2,FALSE),0.2)</f>
        <v/>
      </c>
      <c r="F156">
        <f>D156*E156</f>
        <v/>
      </c>
    </row>
    <row r="157">
      <c r="A157" t="inlineStr">
        <is>
          <t>Cook</t>
        </is>
      </c>
      <c r="B157">
        <f>Inputs_State!$B$1</f>
        <v/>
      </c>
      <c r="C157" t="inlineStr">
        <is>
          <t>Customer Contacts - Email/Portal</t>
        </is>
      </c>
      <c r="D157" t="n">
        <v>7445</v>
      </c>
      <c r="E157">
        <f>IFERROR(VLOOKUP(C157,Weights!$A$2:$B$11,2,FALSE),0.15)</f>
        <v/>
      </c>
      <c r="F157">
        <f>D157*E157</f>
        <v/>
      </c>
    </row>
    <row r="158">
      <c r="A158" t="inlineStr">
        <is>
          <t>Cook</t>
        </is>
      </c>
      <c r="B158">
        <f>Inputs_State!$B$1</f>
        <v/>
      </c>
      <c r="C158" t="inlineStr">
        <is>
          <t>Interpreter/Language Services</t>
        </is>
      </c>
      <c r="D158" t="n">
        <v>521</v>
      </c>
      <c r="E158">
        <f>IFERROR(VLOOKUP(C158,Weights!$A$2:$B$11,2,FALSE),0.6)</f>
        <v/>
      </c>
      <c r="F158">
        <f>D158*E158</f>
        <v/>
      </c>
    </row>
    <row r="159">
      <c r="A159" t="inlineStr">
        <is>
          <t>Cook</t>
        </is>
      </c>
      <c r="B159">
        <f>Inputs_State!$B$1</f>
        <v/>
      </c>
      <c r="C159" t="inlineStr">
        <is>
          <t>Safety / High Risk Handling</t>
        </is>
      </c>
      <c r="D159" t="n">
        <v>109</v>
      </c>
      <c r="E159">
        <f>IFERROR(VLOOKUP(C159,Weights!$A$2:$B$11,2,FALSE),0.7)</f>
        <v/>
      </c>
      <c r="F159">
        <f>D159*E159</f>
        <v/>
      </c>
    </row>
    <row r="160">
      <c r="A160" t="inlineStr">
        <is>
          <t>Cook</t>
        </is>
      </c>
      <c r="B160">
        <f>Inputs_State!$B$1</f>
        <v/>
      </c>
      <c r="C160" t="inlineStr">
        <is>
          <t>Incarceration Coordination</t>
        </is>
      </c>
      <c r="D160" t="n">
        <v>2136</v>
      </c>
      <c r="E160">
        <f>IFERROR(VLOOKUP(C160,Weights!$A$2:$B$11,2,FALSE),0.5)</f>
        <v/>
      </c>
      <c r="F160">
        <f>D160*E160</f>
        <v/>
      </c>
    </row>
    <row r="161">
      <c r="A161" t="inlineStr">
        <is>
          <t>Cook</t>
        </is>
      </c>
      <c r="B161">
        <f>Inputs_State!$B$1</f>
        <v/>
      </c>
      <c r="C161" t="inlineStr">
        <is>
          <t>Unlocatable / Skip Work</t>
        </is>
      </c>
      <c r="D161" t="n">
        <v>119</v>
      </c>
      <c r="E161">
        <f>IFERROR(VLOOKUP(C161,Weights!$A$2:$B$11,2,FALSE),0.8)</f>
        <v/>
      </c>
      <c r="F161">
        <f>D161*E161</f>
        <v/>
      </c>
    </row>
    <row r="162">
      <c r="A162" t="inlineStr">
        <is>
          <t>Cottonwood</t>
        </is>
      </c>
      <c r="B162">
        <f>Inputs_State!$B$1</f>
        <v/>
      </c>
      <c r="C162" t="inlineStr">
        <is>
          <t>Standard Case Work</t>
        </is>
      </c>
      <c r="D162" t="n">
        <v>337</v>
      </c>
      <c r="E162">
        <f>IFERROR(VLOOKUP(C162,Weights!$A$2:$B$11,2,FALSE),1)</f>
        <v/>
      </c>
      <c r="F162">
        <f>D162*E162</f>
        <v/>
      </c>
    </row>
    <row r="163">
      <c r="A163" t="inlineStr">
        <is>
          <t>Cottonwood</t>
        </is>
      </c>
      <c r="B163">
        <f>Inputs_State!$B$1</f>
        <v/>
      </c>
      <c r="C163" t="inlineStr">
        <is>
          <t>Full Locate / Long Locate</t>
        </is>
      </c>
      <c r="D163" t="n">
        <v>578</v>
      </c>
      <c r="E163">
        <f>IFERROR(VLOOKUP(C163,Weights!$A$2:$B$11,2,FALSE),2)</f>
        <v/>
      </c>
      <c r="F163">
        <f>D163*E163</f>
        <v/>
      </c>
    </row>
    <row r="164">
      <c r="A164" t="inlineStr">
        <is>
          <t>Cottonwood</t>
        </is>
      </c>
      <c r="B164">
        <f>Inputs_State!$B$1</f>
        <v/>
      </c>
      <c r="C164" t="inlineStr">
        <is>
          <t>METS / Interstate Complexity</t>
        </is>
      </c>
      <c r="D164" t="n">
        <v>151</v>
      </c>
      <c r="E164">
        <f>IFERROR(VLOOKUP(C164,Weights!$A$2:$B$11,2,FALSE),1.5)</f>
        <v/>
      </c>
      <c r="F164">
        <f>D164*E164</f>
        <v/>
      </c>
    </row>
    <row r="165">
      <c r="A165" t="inlineStr">
        <is>
          <t>Cottonwood</t>
        </is>
      </c>
      <c r="B165">
        <f>Inputs_State!$B$1</f>
        <v/>
      </c>
      <c r="C165" t="inlineStr">
        <is>
          <t>Enforcement / R&amp;M Actions</t>
        </is>
      </c>
      <c r="D165" t="n">
        <v>479</v>
      </c>
      <c r="E165">
        <f>IFERROR(VLOOKUP(C165,Weights!$A$2:$B$11,2,FALSE),1.3)</f>
        <v/>
      </c>
      <c r="F165">
        <f>D165*E165</f>
        <v/>
      </c>
    </row>
    <row r="166">
      <c r="A166" t="inlineStr">
        <is>
          <t>Cottonwood</t>
        </is>
      </c>
      <c r="B166">
        <f>Inputs_State!$B$1</f>
        <v/>
      </c>
      <c r="C166" t="inlineStr">
        <is>
          <t>Customer Contacts - Telephone</t>
        </is>
      </c>
      <c r="D166" t="n">
        <v>3522</v>
      </c>
      <c r="E166">
        <f>IFERROR(VLOOKUP(C166,Weights!$A$2:$B$11,2,FALSE),0.2)</f>
        <v/>
      </c>
      <c r="F166">
        <f>D166*E166</f>
        <v/>
      </c>
    </row>
    <row r="167">
      <c r="A167" t="inlineStr">
        <is>
          <t>Cottonwood</t>
        </is>
      </c>
      <c r="B167">
        <f>Inputs_State!$B$1</f>
        <v/>
      </c>
      <c r="C167" t="inlineStr">
        <is>
          <t>Customer Contacts - Email/Portal</t>
        </is>
      </c>
      <c r="D167" t="n">
        <v>20815</v>
      </c>
      <c r="E167">
        <f>IFERROR(VLOOKUP(C167,Weights!$A$2:$B$11,2,FALSE),0.15)</f>
        <v/>
      </c>
      <c r="F167">
        <f>D167*E167</f>
        <v/>
      </c>
    </row>
    <row r="168">
      <c r="A168" t="inlineStr">
        <is>
          <t>Cottonwood</t>
        </is>
      </c>
      <c r="B168">
        <f>Inputs_State!$B$1</f>
        <v/>
      </c>
      <c r="C168" t="inlineStr">
        <is>
          <t>Interpreter/Language Services</t>
        </is>
      </c>
      <c r="D168" t="n">
        <v>1589</v>
      </c>
      <c r="E168">
        <f>IFERROR(VLOOKUP(C168,Weights!$A$2:$B$11,2,FALSE),0.6)</f>
        <v/>
      </c>
      <c r="F168">
        <f>D168*E168</f>
        <v/>
      </c>
    </row>
    <row r="169">
      <c r="A169" t="inlineStr">
        <is>
          <t>Cottonwood</t>
        </is>
      </c>
      <c r="B169">
        <f>Inputs_State!$B$1</f>
        <v/>
      </c>
      <c r="C169" t="inlineStr">
        <is>
          <t>Safety / High Risk Handling</t>
        </is>
      </c>
      <c r="D169" t="n">
        <v>292</v>
      </c>
      <c r="E169">
        <f>IFERROR(VLOOKUP(C169,Weights!$A$2:$B$11,2,FALSE),0.7)</f>
        <v/>
      </c>
      <c r="F169">
        <f>D169*E169</f>
        <v/>
      </c>
    </row>
    <row r="170">
      <c r="A170" t="inlineStr">
        <is>
          <t>Cottonwood</t>
        </is>
      </c>
      <c r="B170">
        <f>Inputs_State!$B$1</f>
        <v/>
      </c>
      <c r="C170" t="inlineStr">
        <is>
          <t>Incarceration Coordination</t>
        </is>
      </c>
      <c r="D170" t="n">
        <v>6331</v>
      </c>
      <c r="E170">
        <f>IFERROR(VLOOKUP(C170,Weights!$A$2:$B$11,2,FALSE),0.5)</f>
        <v/>
      </c>
      <c r="F170">
        <f>D170*E170</f>
        <v/>
      </c>
    </row>
    <row r="171">
      <c r="A171" t="inlineStr">
        <is>
          <t>Cottonwood</t>
        </is>
      </c>
      <c r="B171">
        <f>Inputs_State!$B$1</f>
        <v/>
      </c>
      <c r="C171" t="inlineStr">
        <is>
          <t>Unlocatable / Skip Work</t>
        </is>
      </c>
      <c r="D171" t="n">
        <v>414</v>
      </c>
      <c r="E171">
        <f>IFERROR(VLOOKUP(C171,Weights!$A$2:$B$11,2,FALSE),0.8)</f>
        <v/>
      </c>
      <c r="F171">
        <f>D171*E171</f>
        <v/>
      </c>
    </row>
    <row r="172">
      <c r="A172" t="inlineStr">
        <is>
          <t>Crow Wing</t>
        </is>
      </c>
      <c r="B172">
        <f>Inputs_State!$B$1</f>
        <v/>
      </c>
      <c r="C172" t="inlineStr">
        <is>
          <t>Standard Case Work</t>
        </is>
      </c>
      <c r="D172" t="n">
        <v>671</v>
      </c>
      <c r="E172">
        <f>IFERROR(VLOOKUP(C172,Weights!$A$2:$B$11,2,FALSE),1)</f>
        <v/>
      </c>
      <c r="F172">
        <f>D172*E172</f>
        <v/>
      </c>
    </row>
    <row r="173">
      <c r="A173" t="inlineStr">
        <is>
          <t>Crow Wing</t>
        </is>
      </c>
      <c r="B173">
        <f>Inputs_State!$B$1</f>
        <v/>
      </c>
      <c r="C173" t="inlineStr">
        <is>
          <t>Full Locate / Long Locate</t>
        </is>
      </c>
      <c r="D173" t="n">
        <v>875</v>
      </c>
      <c r="E173">
        <f>IFERROR(VLOOKUP(C173,Weights!$A$2:$B$11,2,FALSE),2)</f>
        <v/>
      </c>
      <c r="F173">
        <f>D173*E173</f>
        <v/>
      </c>
    </row>
    <row r="174">
      <c r="A174" t="inlineStr">
        <is>
          <t>Crow Wing</t>
        </is>
      </c>
      <c r="B174">
        <f>Inputs_State!$B$1</f>
        <v/>
      </c>
      <c r="C174" t="inlineStr">
        <is>
          <t>METS / Interstate Complexity</t>
        </is>
      </c>
      <c r="D174" t="n">
        <v>279</v>
      </c>
      <c r="E174">
        <f>IFERROR(VLOOKUP(C174,Weights!$A$2:$B$11,2,FALSE),1.5)</f>
        <v/>
      </c>
      <c r="F174">
        <f>D174*E174</f>
        <v/>
      </c>
    </row>
    <row r="175">
      <c r="A175" t="inlineStr">
        <is>
          <t>Crow Wing</t>
        </is>
      </c>
      <c r="B175">
        <f>Inputs_State!$B$1</f>
        <v/>
      </c>
      <c r="C175" t="inlineStr">
        <is>
          <t>Enforcement / R&amp;M Actions</t>
        </is>
      </c>
      <c r="D175" t="n">
        <v>1031</v>
      </c>
      <c r="E175">
        <f>IFERROR(VLOOKUP(C175,Weights!$A$2:$B$11,2,FALSE),1.3)</f>
        <v/>
      </c>
      <c r="F175">
        <f>D175*E175</f>
        <v/>
      </c>
    </row>
    <row r="176">
      <c r="A176" t="inlineStr">
        <is>
          <t>Crow Wing</t>
        </is>
      </c>
      <c r="B176">
        <f>Inputs_State!$B$1</f>
        <v/>
      </c>
      <c r="C176" t="inlineStr">
        <is>
          <t>Customer Contacts - Telephone</t>
        </is>
      </c>
      <c r="D176" t="n">
        <v>5204</v>
      </c>
      <c r="E176">
        <f>IFERROR(VLOOKUP(C176,Weights!$A$2:$B$11,2,FALSE),0.2)</f>
        <v/>
      </c>
      <c r="F176">
        <f>D176*E176</f>
        <v/>
      </c>
    </row>
    <row r="177">
      <c r="A177" t="inlineStr">
        <is>
          <t>Crow Wing</t>
        </is>
      </c>
      <c r="B177">
        <f>Inputs_State!$B$1</f>
        <v/>
      </c>
      <c r="C177" t="inlineStr">
        <is>
          <t>Customer Contacts - Email/Portal</t>
        </is>
      </c>
      <c r="D177" t="n">
        <v>37325</v>
      </c>
      <c r="E177">
        <f>IFERROR(VLOOKUP(C177,Weights!$A$2:$B$11,2,FALSE),0.15)</f>
        <v/>
      </c>
      <c r="F177">
        <f>D177*E177</f>
        <v/>
      </c>
    </row>
    <row r="178">
      <c r="A178" t="inlineStr">
        <is>
          <t>Crow Wing</t>
        </is>
      </c>
      <c r="B178">
        <f>Inputs_State!$B$1</f>
        <v/>
      </c>
      <c r="C178" t="inlineStr">
        <is>
          <t>Interpreter/Language Services</t>
        </is>
      </c>
      <c r="D178" t="n">
        <v>3622</v>
      </c>
      <c r="E178">
        <f>IFERROR(VLOOKUP(C178,Weights!$A$2:$B$11,2,FALSE),0.6)</f>
        <v/>
      </c>
      <c r="F178">
        <f>D178*E178</f>
        <v/>
      </c>
    </row>
    <row r="179">
      <c r="A179" t="inlineStr">
        <is>
          <t>Crow Wing</t>
        </is>
      </c>
      <c r="B179">
        <f>Inputs_State!$B$1</f>
        <v/>
      </c>
      <c r="C179" t="inlineStr">
        <is>
          <t>Safety / High Risk Handling</t>
        </is>
      </c>
      <c r="D179" t="n">
        <v>641</v>
      </c>
      <c r="E179">
        <f>IFERROR(VLOOKUP(C179,Weights!$A$2:$B$11,2,FALSE),0.7)</f>
        <v/>
      </c>
      <c r="F179">
        <f>D179*E179</f>
        <v/>
      </c>
    </row>
    <row r="180">
      <c r="A180" t="inlineStr">
        <is>
          <t>Crow Wing</t>
        </is>
      </c>
      <c r="B180">
        <f>Inputs_State!$B$1</f>
        <v/>
      </c>
      <c r="C180" t="inlineStr">
        <is>
          <t>Incarceration Coordination</t>
        </is>
      </c>
      <c r="D180" t="n">
        <v>12519</v>
      </c>
      <c r="E180">
        <f>IFERROR(VLOOKUP(C180,Weights!$A$2:$B$11,2,FALSE),0.5)</f>
        <v/>
      </c>
      <c r="F180">
        <f>D180*E180</f>
        <v/>
      </c>
    </row>
    <row r="181">
      <c r="A181" t="inlineStr">
        <is>
          <t>Crow Wing</t>
        </is>
      </c>
      <c r="B181">
        <f>Inputs_State!$B$1</f>
        <v/>
      </c>
      <c r="C181" t="inlineStr">
        <is>
          <t>Unlocatable / Skip Work</t>
        </is>
      </c>
      <c r="D181" t="n">
        <v>803</v>
      </c>
      <c r="E181">
        <f>IFERROR(VLOOKUP(C181,Weights!$A$2:$B$11,2,FALSE),0.8)</f>
        <v/>
      </c>
      <c r="F181">
        <f>D181*E181</f>
        <v/>
      </c>
    </row>
    <row r="182">
      <c r="A182" t="inlineStr">
        <is>
          <t>Dakota</t>
        </is>
      </c>
      <c r="B182">
        <f>Inputs_State!$B$1</f>
        <v/>
      </c>
      <c r="C182" t="inlineStr">
        <is>
          <t>Standard Case Work</t>
        </is>
      </c>
      <c r="D182" t="n">
        <v>1148</v>
      </c>
      <c r="E182">
        <f>IFERROR(VLOOKUP(C182,Weights!$A$2:$B$11,2,FALSE),1)</f>
        <v/>
      </c>
      <c r="F182">
        <f>D182*E182</f>
        <v/>
      </c>
    </row>
    <row r="183">
      <c r="A183" t="inlineStr">
        <is>
          <t>Dakota</t>
        </is>
      </c>
      <c r="B183">
        <f>Inputs_State!$B$1</f>
        <v/>
      </c>
      <c r="C183" t="inlineStr">
        <is>
          <t>Full Locate / Long Locate</t>
        </is>
      </c>
      <c r="D183" t="n">
        <v>1764</v>
      </c>
      <c r="E183">
        <f>IFERROR(VLOOKUP(C183,Weights!$A$2:$B$11,2,FALSE),2)</f>
        <v/>
      </c>
      <c r="F183">
        <f>D183*E183</f>
        <v/>
      </c>
    </row>
    <row r="184">
      <c r="A184" t="inlineStr">
        <is>
          <t>Dakota</t>
        </is>
      </c>
      <c r="B184">
        <f>Inputs_State!$B$1</f>
        <v/>
      </c>
      <c r="C184" t="inlineStr">
        <is>
          <t>METS / Interstate Complexity</t>
        </is>
      </c>
      <c r="D184" t="n">
        <v>489</v>
      </c>
      <c r="E184">
        <f>IFERROR(VLOOKUP(C184,Weights!$A$2:$B$11,2,FALSE),1.5)</f>
        <v/>
      </c>
      <c r="F184">
        <f>D184*E184</f>
        <v/>
      </c>
    </row>
    <row r="185">
      <c r="A185" t="inlineStr">
        <is>
          <t>Dakota</t>
        </is>
      </c>
      <c r="B185">
        <f>Inputs_State!$B$1</f>
        <v/>
      </c>
      <c r="C185" t="inlineStr">
        <is>
          <t>Enforcement / R&amp;M Actions</t>
        </is>
      </c>
      <c r="D185" t="n">
        <v>1376</v>
      </c>
      <c r="E185">
        <f>IFERROR(VLOOKUP(C185,Weights!$A$2:$B$11,2,FALSE),1.3)</f>
        <v/>
      </c>
      <c r="F185">
        <f>D185*E185</f>
        <v/>
      </c>
    </row>
    <row r="186">
      <c r="A186" t="inlineStr">
        <is>
          <t>Dakota</t>
        </is>
      </c>
      <c r="B186">
        <f>Inputs_State!$B$1</f>
        <v/>
      </c>
      <c r="C186" t="inlineStr">
        <is>
          <t>Customer Contacts - Telephone</t>
        </is>
      </c>
      <c r="D186" t="n">
        <v>11384</v>
      </c>
      <c r="E186">
        <f>IFERROR(VLOOKUP(C186,Weights!$A$2:$B$11,2,FALSE),0.2)</f>
        <v/>
      </c>
      <c r="F186">
        <f>D186*E186</f>
        <v/>
      </c>
    </row>
    <row r="187">
      <c r="A187" t="inlineStr">
        <is>
          <t>Dakota</t>
        </is>
      </c>
      <c r="B187">
        <f>Inputs_State!$B$1</f>
        <v/>
      </c>
      <c r="C187" t="inlineStr">
        <is>
          <t>Customer Contacts - Email/Portal</t>
        </is>
      </c>
      <c r="D187" t="n">
        <v>66995</v>
      </c>
      <c r="E187">
        <f>IFERROR(VLOOKUP(C187,Weights!$A$2:$B$11,2,FALSE),0.15)</f>
        <v/>
      </c>
      <c r="F187">
        <f>D187*E187</f>
        <v/>
      </c>
    </row>
    <row r="188">
      <c r="A188" t="inlineStr">
        <is>
          <t>Dakota</t>
        </is>
      </c>
      <c r="B188">
        <f>Inputs_State!$B$1</f>
        <v/>
      </c>
      <c r="C188" t="inlineStr">
        <is>
          <t>Interpreter/Language Services</t>
        </is>
      </c>
      <c r="D188" t="n">
        <v>6119</v>
      </c>
      <c r="E188">
        <f>IFERROR(VLOOKUP(C188,Weights!$A$2:$B$11,2,FALSE),0.6)</f>
        <v/>
      </c>
      <c r="F188">
        <f>D188*E188</f>
        <v/>
      </c>
    </row>
    <row r="189">
      <c r="A189" t="inlineStr">
        <is>
          <t>Dakota</t>
        </is>
      </c>
      <c r="B189">
        <f>Inputs_State!$B$1</f>
        <v/>
      </c>
      <c r="C189" t="inlineStr">
        <is>
          <t>Safety / High Risk Handling</t>
        </is>
      </c>
      <c r="D189" t="n">
        <v>1023</v>
      </c>
      <c r="E189">
        <f>IFERROR(VLOOKUP(C189,Weights!$A$2:$B$11,2,FALSE),0.7)</f>
        <v/>
      </c>
      <c r="F189">
        <f>D189*E189</f>
        <v/>
      </c>
    </row>
    <row r="190">
      <c r="A190" t="inlineStr">
        <is>
          <t>Dakota</t>
        </is>
      </c>
      <c r="B190">
        <f>Inputs_State!$B$1</f>
        <v/>
      </c>
      <c r="C190" t="inlineStr">
        <is>
          <t>Incarceration Coordination</t>
        </is>
      </c>
      <c r="D190" t="n">
        <v>19280</v>
      </c>
      <c r="E190">
        <f>IFERROR(VLOOKUP(C190,Weights!$A$2:$B$11,2,FALSE),0.5)</f>
        <v/>
      </c>
      <c r="F190">
        <f>D190*E190</f>
        <v/>
      </c>
    </row>
    <row r="191">
      <c r="A191" t="inlineStr">
        <is>
          <t>Dakota</t>
        </is>
      </c>
      <c r="B191">
        <f>Inputs_State!$B$1</f>
        <v/>
      </c>
      <c r="C191" t="inlineStr">
        <is>
          <t>Unlocatable / Skip Work</t>
        </is>
      </c>
      <c r="D191" t="n">
        <v>1482</v>
      </c>
      <c r="E191">
        <f>IFERROR(VLOOKUP(C191,Weights!$A$2:$B$11,2,FALSE),0.8)</f>
        <v/>
      </c>
      <c r="F191">
        <f>D191*E191</f>
        <v/>
      </c>
    </row>
    <row r="192">
      <c r="A192" t="inlineStr">
        <is>
          <t>Dodge</t>
        </is>
      </c>
      <c r="B192">
        <f>Inputs_State!$B$1</f>
        <v/>
      </c>
      <c r="C192" t="inlineStr">
        <is>
          <t>Standard Case Work</t>
        </is>
      </c>
      <c r="D192" t="n">
        <v>316</v>
      </c>
      <c r="E192">
        <f>IFERROR(VLOOKUP(C192,Weights!$A$2:$B$11,2,FALSE),1)</f>
        <v/>
      </c>
      <c r="F192">
        <f>D192*E192</f>
        <v/>
      </c>
    </row>
    <row r="193">
      <c r="A193" t="inlineStr">
        <is>
          <t>Dodge</t>
        </is>
      </c>
      <c r="B193">
        <f>Inputs_State!$B$1</f>
        <v/>
      </c>
      <c r="C193" t="inlineStr">
        <is>
          <t>Full Locate / Long Locate</t>
        </is>
      </c>
      <c r="D193" t="n">
        <v>535</v>
      </c>
      <c r="E193">
        <f>IFERROR(VLOOKUP(C193,Weights!$A$2:$B$11,2,FALSE),2)</f>
        <v/>
      </c>
      <c r="F193">
        <f>D193*E193</f>
        <v/>
      </c>
    </row>
    <row r="194">
      <c r="A194" t="inlineStr">
        <is>
          <t>Dodge</t>
        </is>
      </c>
      <c r="B194">
        <f>Inputs_State!$B$1</f>
        <v/>
      </c>
      <c r="C194" t="inlineStr">
        <is>
          <t>METS / Interstate Complexity</t>
        </is>
      </c>
      <c r="D194" t="n">
        <v>117</v>
      </c>
      <c r="E194">
        <f>IFERROR(VLOOKUP(C194,Weights!$A$2:$B$11,2,FALSE),1.5)</f>
        <v/>
      </c>
      <c r="F194">
        <f>D194*E194</f>
        <v/>
      </c>
    </row>
    <row r="195">
      <c r="A195" t="inlineStr">
        <is>
          <t>Dodge</t>
        </is>
      </c>
      <c r="B195">
        <f>Inputs_State!$B$1</f>
        <v/>
      </c>
      <c r="C195" t="inlineStr">
        <is>
          <t>Enforcement / R&amp;M Actions</t>
        </is>
      </c>
      <c r="D195" t="n">
        <v>380</v>
      </c>
      <c r="E195">
        <f>IFERROR(VLOOKUP(C195,Weights!$A$2:$B$11,2,FALSE),1.3)</f>
        <v/>
      </c>
      <c r="F195">
        <f>D195*E195</f>
        <v/>
      </c>
    </row>
    <row r="196">
      <c r="A196" t="inlineStr">
        <is>
          <t>Dodge</t>
        </is>
      </c>
      <c r="B196">
        <f>Inputs_State!$B$1</f>
        <v/>
      </c>
      <c r="C196" t="inlineStr">
        <is>
          <t>Customer Contacts - Telephone</t>
        </is>
      </c>
      <c r="D196" t="n">
        <v>2650</v>
      </c>
      <c r="E196">
        <f>IFERROR(VLOOKUP(C196,Weights!$A$2:$B$11,2,FALSE),0.2)</f>
        <v/>
      </c>
      <c r="F196">
        <f>D196*E196</f>
        <v/>
      </c>
    </row>
    <row r="197">
      <c r="A197" t="inlineStr">
        <is>
          <t>Dodge</t>
        </is>
      </c>
      <c r="B197">
        <f>Inputs_State!$B$1</f>
        <v/>
      </c>
      <c r="C197" t="inlineStr">
        <is>
          <t>Customer Contacts - Email/Portal</t>
        </is>
      </c>
      <c r="D197" t="n">
        <v>16944</v>
      </c>
      <c r="E197">
        <f>IFERROR(VLOOKUP(C197,Weights!$A$2:$B$11,2,FALSE),0.15)</f>
        <v/>
      </c>
      <c r="F197">
        <f>D197*E197</f>
        <v/>
      </c>
    </row>
    <row r="198">
      <c r="A198" t="inlineStr">
        <is>
          <t>Dodge</t>
        </is>
      </c>
      <c r="B198">
        <f>Inputs_State!$B$1</f>
        <v/>
      </c>
      <c r="C198" t="inlineStr">
        <is>
          <t>Interpreter/Language Services</t>
        </is>
      </c>
      <c r="D198" t="n">
        <v>1799</v>
      </c>
      <c r="E198">
        <f>IFERROR(VLOOKUP(C198,Weights!$A$2:$B$11,2,FALSE),0.6)</f>
        <v/>
      </c>
      <c r="F198">
        <f>D198*E198</f>
        <v/>
      </c>
    </row>
    <row r="199">
      <c r="A199" t="inlineStr">
        <is>
          <t>Dodge</t>
        </is>
      </c>
      <c r="B199">
        <f>Inputs_State!$B$1</f>
        <v/>
      </c>
      <c r="C199" t="inlineStr">
        <is>
          <t>Safety / High Risk Handling</t>
        </is>
      </c>
      <c r="D199" t="n">
        <v>238</v>
      </c>
      <c r="E199">
        <f>IFERROR(VLOOKUP(C199,Weights!$A$2:$B$11,2,FALSE),0.7)</f>
        <v/>
      </c>
      <c r="F199">
        <f>D199*E199</f>
        <v/>
      </c>
    </row>
    <row r="200">
      <c r="A200" t="inlineStr">
        <is>
          <t>Dodge</t>
        </is>
      </c>
      <c r="B200">
        <f>Inputs_State!$B$1</f>
        <v/>
      </c>
      <c r="C200" t="inlineStr">
        <is>
          <t>Incarceration Coordination</t>
        </is>
      </c>
      <c r="D200" t="n">
        <v>5475</v>
      </c>
      <c r="E200">
        <f>IFERROR(VLOOKUP(C200,Weights!$A$2:$B$11,2,FALSE),0.5)</f>
        <v/>
      </c>
      <c r="F200">
        <f>D200*E200</f>
        <v/>
      </c>
    </row>
    <row r="201">
      <c r="A201" t="inlineStr">
        <is>
          <t>Dodge</t>
        </is>
      </c>
      <c r="B201">
        <f>Inputs_State!$B$1</f>
        <v/>
      </c>
      <c r="C201" t="inlineStr">
        <is>
          <t>Unlocatable / Skip Work</t>
        </is>
      </c>
      <c r="D201" t="n">
        <v>404</v>
      </c>
      <c r="E201">
        <f>IFERROR(VLOOKUP(C201,Weights!$A$2:$B$11,2,FALSE),0.8)</f>
        <v/>
      </c>
      <c r="F201">
        <f>D201*E201</f>
        <v/>
      </c>
    </row>
    <row r="202">
      <c r="A202" t="inlineStr">
        <is>
          <t>Douglas</t>
        </is>
      </c>
      <c r="B202">
        <f>Inputs_State!$B$1</f>
        <v/>
      </c>
      <c r="C202" t="inlineStr">
        <is>
          <t>Standard Case Work</t>
        </is>
      </c>
      <c r="D202" t="n">
        <v>555</v>
      </c>
      <c r="E202">
        <f>IFERROR(VLOOKUP(C202,Weights!$A$2:$B$11,2,FALSE),1)</f>
        <v/>
      </c>
      <c r="F202">
        <f>D202*E202</f>
        <v/>
      </c>
    </row>
    <row r="203">
      <c r="A203" t="inlineStr">
        <is>
          <t>Douglas</t>
        </is>
      </c>
      <c r="B203">
        <f>Inputs_State!$B$1</f>
        <v/>
      </c>
      <c r="C203" t="inlineStr">
        <is>
          <t>Full Locate / Long Locate</t>
        </is>
      </c>
      <c r="D203" t="n">
        <v>1178</v>
      </c>
      <c r="E203">
        <f>IFERROR(VLOOKUP(C203,Weights!$A$2:$B$11,2,FALSE),2)</f>
        <v/>
      </c>
      <c r="F203">
        <f>D203*E203</f>
        <v/>
      </c>
    </row>
    <row r="204">
      <c r="A204" t="inlineStr">
        <is>
          <t>Douglas</t>
        </is>
      </c>
      <c r="B204">
        <f>Inputs_State!$B$1</f>
        <v/>
      </c>
      <c r="C204" t="inlineStr">
        <is>
          <t>METS / Interstate Complexity</t>
        </is>
      </c>
      <c r="D204" t="n">
        <v>244</v>
      </c>
      <c r="E204">
        <f>IFERROR(VLOOKUP(C204,Weights!$A$2:$B$11,2,FALSE),1.5)</f>
        <v/>
      </c>
      <c r="F204">
        <f>D204*E204</f>
        <v/>
      </c>
    </row>
    <row r="205">
      <c r="A205" t="inlineStr">
        <is>
          <t>Douglas</t>
        </is>
      </c>
      <c r="B205">
        <f>Inputs_State!$B$1</f>
        <v/>
      </c>
      <c r="C205" t="inlineStr">
        <is>
          <t>Enforcement / R&amp;M Actions</t>
        </is>
      </c>
      <c r="D205" t="n">
        <v>855</v>
      </c>
      <c r="E205">
        <f>IFERROR(VLOOKUP(C205,Weights!$A$2:$B$11,2,FALSE),1.3)</f>
        <v/>
      </c>
      <c r="F205">
        <f>D205*E205</f>
        <v/>
      </c>
    </row>
    <row r="206">
      <c r="A206" t="inlineStr">
        <is>
          <t>Douglas</t>
        </is>
      </c>
      <c r="B206">
        <f>Inputs_State!$B$1</f>
        <v/>
      </c>
      <c r="C206" t="inlineStr">
        <is>
          <t>Customer Contacts - Telephone</t>
        </is>
      </c>
      <c r="D206" t="n">
        <v>6062</v>
      </c>
      <c r="E206">
        <f>IFERROR(VLOOKUP(C206,Weights!$A$2:$B$11,2,FALSE),0.2)</f>
        <v/>
      </c>
      <c r="F206">
        <f>D206*E206</f>
        <v/>
      </c>
    </row>
    <row r="207">
      <c r="A207" t="inlineStr">
        <is>
          <t>Douglas</t>
        </is>
      </c>
      <c r="B207">
        <f>Inputs_State!$B$1</f>
        <v/>
      </c>
      <c r="C207" t="inlineStr">
        <is>
          <t>Customer Contacts - Email/Portal</t>
        </is>
      </c>
      <c r="D207" t="n">
        <v>39088</v>
      </c>
      <c r="E207">
        <f>IFERROR(VLOOKUP(C207,Weights!$A$2:$B$11,2,FALSE),0.15)</f>
        <v/>
      </c>
      <c r="F207">
        <f>D207*E207</f>
        <v/>
      </c>
    </row>
    <row r="208">
      <c r="A208" t="inlineStr">
        <is>
          <t>Douglas</t>
        </is>
      </c>
      <c r="B208">
        <f>Inputs_State!$B$1</f>
        <v/>
      </c>
      <c r="C208" t="inlineStr">
        <is>
          <t>Interpreter/Language Services</t>
        </is>
      </c>
      <c r="D208" t="n">
        <v>3455</v>
      </c>
      <c r="E208">
        <f>IFERROR(VLOOKUP(C208,Weights!$A$2:$B$11,2,FALSE),0.6)</f>
        <v/>
      </c>
      <c r="F208">
        <f>D208*E208</f>
        <v/>
      </c>
    </row>
    <row r="209">
      <c r="A209" t="inlineStr">
        <is>
          <t>Douglas</t>
        </is>
      </c>
      <c r="B209">
        <f>Inputs_State!$B$1</f>
        <v/>
      </c>
      <c r="C209" t="inlineStr">
        <is>
          <t>Safety / High Risk Handling</t>
        </is>
      </c>
      <c r="D209" t="n">
        <v>663</v>
      </c>
      <c r="E209">
        <f>IFERROR(VLOOKUP(C209,Weights!$A$2:$B$11,2,FALSE),0.7)</f>
        <v/>
      </c>
      <c r="F209">
        <f>D209*E209</f>
        <v/>
      </c>
    </row>
    <row r="210">
      <c r="A210" t="inlineStr">
        <is>
          <t>Douglas</t>
        </is>
      </c>
      <c r="B210">
        <f>Inputs_State!$B$1</f>
        <v/>
      </c>
      <c r="C210" t="inlineStr">
        <is>
          <t>Incarceration Coordination</t>
        </is>
      </c>
      <c r="D210" t="n">
        <v>10952</v>
      </c>
      <c r="E210">
        <f>IFERROR(VLOOKUP(C210,Weights!$A$2:$B$11,2,FALSE),0.5)</f>
        <v/>
      </c>
      <c r="F210">
        <f>D210*E210</f>
        <v/>
      </c>
    </row>
    <row r="211">
      <c r="A211" t="inlineStr">
        <is>
          <t>Douglas</t>
        </is>
      </c>
      <c r="B211">
        <f>Inputs_State!$B$1</f>
        <v/>
      </c>
      <c r="C211" t="inlineStr">
        <is>
          <t>Unlocatable / Skip Work</t>
        </is>
      </c>
      <c r="D211" t="n">
        <v>768</v>
      </c>
      <c r="E211">
        <f>IFERROR(VLOOKUP(C211,Weights!$A$2:$B$11,2,FALSE),0.8)</f>
        <v/>
      </c>
      <c r="F211">
        <f>D211*E211</f>
        <v/>
      </c>
    </row>
    <row r="212">
      <c r="A212" t="inlineStr">
        <is>
          <t>Faribault</t>
        </is>
      </c>
      <c r="B212">
        <f>Inputs_State!$B$1</f>
        <v/>
      </c>
      <c r="C212" t="inlineStr">
        <is>
          <t>Standard Case Work</t>
        </is>
      </c>
      <c r="D212" t="n">
        <v>86</v>
      </c>
      <c r="E212">
        <f>IFERROR(VLOOKUP(C212,Weights!$A$2:$B$11,2,FALSE),1)</f>
        <v/>
      </c>
      <c r="F212">
        <f>D212*E212</f>
        <v/>
      </c>
    </row>
    <row r="213">
      <c r="A213" t="inlineStr">
        <is>
          <t>Faribault</t>
        </is>
      </c>
      <c r="B213">
        <f>Inputs_State!$B$1</f>
        <v/>
      </c>
      <c r="C213" t="inlineStr">
        <is>
          <t>Full Locate / Long Locate</t>
        </is>
      </c>
      <c r="D213" t="n">
        <v>141</v>
      </c>
      <c r="E213">
        <f>IFERROR(VLOOKUP(C213,Weights!$A$2:$B$11,2,FALSE),2)</f>
        <v/>
      </c>
      <c r="F213">
        <f>D213*E213</f>
        <v/>
      </c>
    </row>
    <row r="214">
      <c r="A214" t="inlineStr">
        <is>
          <t>Faribault</t>
        </is>
      </c>
      <c r="B214">
        <f>Inputs_State!$B$1</f>
        <v/>
      </c>
      <c r="C214" t="inlineStr">
        <is>
          <t>METS / Interstate Complexity</t>
        </is>
      </c>
      <c r="D214" t="n">
        <v>37</v>
      </c>
      <c r="E214">
        <f>IFERROR(VLOOKUP(C214,Weights!$A$2:$B$11,2,FALSE),1.5)</f>
        <v/>
      </c>
      <c r="F214">
        <f>D214*E214</f>
        <v/>
      </c>
    </row>
    <row r="215">
      <c r="A215" t="inlineStr">
        <is>
          <t>Faribault</t>
        </is>
      </c>
      <c r="B215">
        <f>Inputs_State!$B$1</f>
        <v/>
      </c>
      <c r="C215" t="inlineStr">
        <is>
          <t>Enforcement / R&amp;M Actions</t>
        </is>
      </c>
      <c r="D215" t="n">
        <v>151</v>
      </c>
      <c r="E215">
        <f>IFERROR(VLOOKUP(C215,Weights!$A$2:$B$11,2,FALSE),1.3)</f>
        <v/>
      </c>
      <c r="F215">
        <f>D215*E215</f>
        <v/>
      </c>
    </row>
    <row r="216">
      <c r="A216" t="inlineStr">
        <is>
          <t>Faribault</t>
        </is>
      </c>
      <c r="B216">
        <f>Inputs_State!$B$1</f>
        <v/>
      </c>
      <c r="C216" t="inlineStr">
        <is>
          <t>Customer Contacts - Telephone</t>
        </is>
      </c>
      <c r="D216" t="n">
        <v>927</v>
      </c>
      <c r="E216">
        <f>IFERROR(VLOOKUP(C216,Weights!$A$2:$B$11,2,FALSE),0.2)</f>
        <v/>
      </c>
      <c r="F216">
        <f>D216*E216</f>
        <v/>
      </c>
    </row>
    <row r="217">
      <c r="A217" t="inlineStr">
        <is>
          <t>Faribault</t>
        </is>
      </c>
      <c r="B217">
        <f>Inputs_State!$B$1</f>
        <v/>
      </c>
      <c r="C217" t="inlineStr">
        <is>
          <t>Customer Contacts - Email/Portal</t>
        </is>
      </c>
      <c r="D217" t="n">
        <v>6055</v>
      </c>
      <c r="E217">
        <f>IFERROR(VLOOKUP(C217,Weights!$A$2:$B$11,2,FALSE),0.15)</f>
        <v/>
      </c>
      <c r="F217">
        <f>D217*E217</f>
        <v/>
      </c>
    </row>
    <row r="218">
      <c r="A218" t="inlineStr">
        <is>
          <t>Faribault</t>
        </is>
      </c>
      <c r="B218">
        <f>Inputs_State!$B$1</f>
        <v/>
      </c>
      <c r="C218" t="inlineStr">
        <is>
          <t>Interpreter/Language Services</t>
        </is>
      </c>
      <c r="D218" t="n">
        <v>430</v>
      </c>
      <c r="E218">
        <f>IFERROR(VLOOKUP(C218,Weights!$A$2:$B$11,2,FALSE),0.6)</f>
        <v/>
      </c>
      <c r="F218">
        <f>D218*E218</f>
        <v/>
      </c>
    </row>
    <row r="219">
      <c r="A219" t="inlineStr">
        <is>
          <t>Faribault</t>
        </is>
      </c>
      <c r="B219">
        <f>Inputs_State!$B$1</f>
        <v/>
      </c>
      <c r="C219" t="inlineStr">
        <is>
          <t>Safety / High Risk Handling</t>
        </is>
      </c>
      <c r="D219" t="n">
        <v>72</v>
      </c>
      <c r="E219">
        <f>IFERROR(VLOOKUP(C219,Weights!$A$2:$B$11,2,FALSE),0.7)</f>
        <v/>
      </c>
      <c r="F219">
        <f>D219*E219</f>
        <v/>
      </c>
    </row>
    <row r="220">
      <c r="A220" t="inlineStr">
        <is>
          <t>Faribault</t>
        </is>
      </c>
      <c r="B220">
        <f>Inputs_State!$B$1</f>
        <v/>
      </c>
      <c r="C220" t="inlineStr">
        <is>
          <t>Incarceration Coordination</t>
        </is>
      </c>
      <c r="D220" t="n">
        <v>1730</v>
      </c>
      <c r="E220">
        <f>IFERROR(VLOOKUP(C220,Weights!$A$2:$B$11,2,FALSE),0.5)</f>
        <v/>
      </c>
      <c r="F220">
        <f>D220*E220</f>
        <v/>
      </c>
    </row>
    <row r="221">
      <c r="A221" t="inlineStr">
        <is>
          <t>Faribault</t>
        </is>
      </c>
      <c r="B221">
        <f>Inputs_State!$B$1</f>
        <v/>
      </c>
      <c r="C221" t="inlineStr">
        <is>
          <t>Unlocatable / Skip Work</t>
        </is>
      </c>
      <c r="D221" t="n">
        <v>105</v>
      </c>
      <c r="E221">
        <f>IFERROR(VLOOKUP(C221,Weights!$A$2:$B$11,2,FALSE),0.8)</f>
        <v/>
      </c>
      <c r="F221">
        <f>D221*E221</f>
        <v/>
      </c>
    </row>
    <row r="222">
      <c r="A222" t="inlineStr">
        <is>
          <t>Fillmore</t>
        </is>
      </c>
      <c r="B222">
        <f>Inputs_State!$B$1</f>
        <v/>
      </c>
      <c r="C222" t="inlineStr">
        <is>
          <t>Standard Case Work</t>
        </is>
      </c>
      <c r="D222" t="n">
        <v>286</v>
      </c>
      <c r="E222">
        <f>IFERROR(VLOOKUP(C222,Weights!$A$2:$B$11,2,FALSE),1)</f>
        <v/>
      </c>
      <c r="F222">
        <f>D222*E222</f>
        <v/>
      </c>
    </row>
    <row r="223">
      <c r="A223" t="inlineStr">
        <is>
          <t>Fillmore</t>
        </is>
      </c>
      <c r="B223">
        <f>Inputs_State!$B$1</f>
        <v/>
      </c>
      <c r="C223" t="inlineStr">
        <is>
          <t>Full Locate / Long Locate</t>
        </is>
      </c>
      <c r="D223" t="n">
        <v>462</v>
      </c>
      <c r="E223">
        <f>IFERROR(VLOOKUP(C223,Weights!$A$2:$B$11,2,FALSE),2)</f>
        <v/>
      </c>
      <c r="F223">
        <f>D223*E223</f>
        <v/>
      </c>
    </row>
    <row r="224">
      <c r="A224" t="inlineStr">
        <is>
          <t>Fillmore</t>
        </is>
      </c>
      <c r="B224">
        <f>Inputs_State!$B$1</f>
        <v/>
      </c>
      <c r="C224" t="inlineStr">
        <is>
          <t>METS / Interstate Complexity</t>
        </is>
      </c>
      <c r="D224" t="n">
        <v>110</v>
      </c>
      <c r="E224">
        <f>IFERROR(VLOOKUP(C224,Weights!$A$2:$B$11,2,FALSE),1.5)</f>
        <v/>
      </c>
      <c r="F224">
        <f>D224*E224</f>
        <v/>
      </c>
    </row>
    <row r="225">
      <c r="A225" t="inlineStr">
        <is>
          <t>Fillmore</t>
        </is>
      </c>
      <c r="B225">
        <f>Inputs_State!$B$1</f>
        <v/>
      </c>
      <c r="C225" t="inlineStr">
        <is>
          <t>Enforcement / R&amp;M Actions</t>
        </is>
      </c>
      <c r="D225" t="n">
        <v>417</v>
      </c>
      <c r="E225">
        <f>IFERROR(VLOOKUP(C225,Weights!$A$2:$B$11,2,FALSE),1.3)</f>
        <v/>
      </c>
      <c r="F225">
        <f>D225*E225</f>
        <v/>
      </c>
    </row>
    <row r="226">
      <c r="A226" t="inlineStr">
        <is>
          <t>Fillmore</t>
        </is>
      </c>
      <c r="B226">
        <f>Inputs_State!$B$1</f>
        <v/>
      </c>
      <c r="C226" t="inlineStr">
        <is>
          <t>Customer Contacts - Telephone</t>
        </is>
      </c>
      <c r="D226" t="n">
        <v>2423</v>
      </c>
      <c r="E226">
        <f>IFERROR(VLOOKUP(C226,Weights!$A$2:$B$11,2,FALSE),0.2)</f>
        <v/>
      </c>
      <c r="F226">
        <f>D226*E226</f>
        <v/>
      </c>
    </row>
    <row r="227">
      <c r="A227" t="inlineStr">
        <is>
          <t>Fillmore</t>
        </is>
      </c>
      <c r="B227">
        <f>Inputs_State!$B$1</f>
        <v/>
      </c>
      <c r="C227" t="inlineStr">
        <is>
          <t>Customer Contacts - Email/Portal</t>
        </is>
      </c>
      <c r="D227" t="n">
        <v>21334</v>
      </c>
      <c r="E227">
        <f>IFERROR(VLOOKUP(C227,Weights!$A$2:$B$11,2,FALSE),0.15)</f>
        <v/>
      </c>
      <c r="F227">
        <f>D227*E227</f>
        <v/>
      </c>
    </row>
    <row r="228">
      <c r="A228" t="inlineStr">
        <is>
          <t>Fillmore</t>
        </is>
      </c>
      <c r="B228">
        <f>Inputs_State!$B$1</f>
        <v/>
      </c>
      <c r="C228" t="inlineStr">
        <is>
          <t>Interpreter/Language Services</t>
        </is>
      </c>
      <c r="D228" t="n">
        <v>1733</v>
      </c>
      <c r="E228">
        <f>IFERROR(VLOOKUP(C228,Weights!$A$2:$B$11,2,FALSE),0.6)</f>
        <v/>
      </c>
      <c r="F228">
        <f>D228*E228</f>
        <v/>
      </c>
    </row>
    <row r="229">
      <c r="A229" t="inlineStr">
        <is>
          <t>Fillmore</t>
        </is>
      </c>
      <c r="B229">
        <f>Inputs_State!$B$1</f>
        <v/>
      </c>
      <c r="C229" t="inlineStr">
        <is>
          <t>Safety / High Risk Handling</t>
        </is>
      </c>
      <c r="D229" t="n">
        <v>283</v>
      </c>
      <c r="E229">
        <f>IFERROR(VLOOKUP(C229,Weights!$A$2:$B$11,2,FALSE),0.7)</f>
        <v/>
      </c>
      <c r="F229">
        <f>D229*E229</f>
        <v/>
      </c>
    </row>
    <row r="230">
      <c r="A230" t="inlineStr">
        <is>
          <t>Fillmore</t>
        </is>
      </c>
      <c r="B230">
        <f>Inputs_State!$B$1</f>
        <v/>
      </c>
      <c r="C230" t="inlineStr">
        <is>
          <t>Incarceration Coordination</t>
        </is>
      </c>
      <c r="D230" t="n">
        <v>5972</v>
      </c>
      <c r="E230">
        <f>IFERROR(VLOOKUP(C230,Weights!$A$2:$B$11,2,FALSE),0.5)</f>
        <v/>
      </c>
      <c r="F230">
        <f>D230*E230</f>
        <v/>
      </c>
    </row>
    <row r="231">
      <c r="A231" t="inlineStr">
        <is>
          <t>Fillmore</t>
        </is>
      </c>
      <c r="B231">
        <f>Inputs_State!$B$1</f>
        <v/>
      </c>
      <c r="C231" t="inlineStr">
        <is>
          <t>Unlocatable / Skip Work</t>
        </is>
      </c>
      <c r="D231" t="n">
        <v>403</v>
      </c>
      <c r="E231">
        <f>IFERROR(VLOOKUP(C231,Weights!$A$2:$B$11,2,FALSE),0.8)</f>
        <v/>
      </c>
      <c r="F231">
        <f>D231*E231</f>
        <v/>
      </c>
    </row>
    <row r="232">
      <c r="A232" t="inlineStr">
        <is>
          <t>Freeborn</t>
        </is>
      </c>
      <c r="B232">
        <f>Inputs_State!$B$1</f>
        <v/>
      </c>
      <c r="C232" t="inlineStr">
        <is>
          <t>Standard Case Work</t>
        </is>
      </c>
      <c r="D232" t="n">
        <v>263</v>
      </c>
      <c r="E232">
        <f>IFERROR(VLOOKUP(C232,Weights!$A$2:$B$11,2,FALSE),1)</f>
        <v/>
      </c>
      <c r="F232">
        <f>D232*E232</f>
        <v/>
      </c>
    </row>
    <row r="233">
      <c r="A233" t="inlineStr">
        <is>
          <t>Freeborn</t>
        </is>
      </c>
      <c r="B233">
        <f>Inputs_State!$B$1</f>
        <v/>
      </c>
      <c r="C233" t="inlineStr">
        <is>
          <t>Full Locate / Long Locate</t>
        </is>
      </c>
      <c r="D233" t="n">
        <v>377</v>
      </c>
      <c r="E233">
        <f>IFERROR(VLOOKUP(C233,Weights!$A$2:$B$11,2,FALSE),2)</f>
        <v/>
      </c>
      <c r="F233">
        <f>D233*E233</f>
        <v/>
      </c>
    </row>
    <row r="234">
      <c r="A234" t="inlineStr">
        <is>
          <t>Freeborn</t>
        </is>
      </c>
      <c r="B234">
        <f>Inputs_State!$B$1</f>
        <v/>
      </c>
      <c r="C234" t="inlineStr">
        <is>
          <t>METS / Interstate Complexity</t>
        </is>
      </c>
      <c r="D234" t="n">
        <v>119</v>
      </c>
      <c r="E234">
        <f>IFERROR(VLOOKUP(C234,Weights!$A$2:$B$11,2,FALSE),1.5)</f>
        <v/>
      </c>
      <c r="F234">
        <f>D234*E234</f>
        <v/>
      </c>
    </row>
    <row r="235">
      <c r="A235" t="inlineStr">
        <is>
          <t>Freeborn</t>
        </is>
      </c>
      <c r="B235">
        <f>Inputs_State!$B$1</f>
        <v/>
      </c>
      <c r="C235" t="inlineStr">
        <is>
          <t>Enforcement / R&amp;M Actions</t>
        </is>
      </c>
      <c r="D235" t="n">
        <v>356</v>
      </c>
      <c r="E235">
        <f>IFERROR(VLOOKUP(C235,Weights!$A$2:$B$11,2,FALSE),1.3)</f>
        <v/>
      </c>
      <c r="F235">
        <f>D235*E235</f>
        <v/>
      </c>
    </row>
    <row r="236">
      <c r="A236" t="inlineStr">
        <is>
          <t>Freeborn</t>
        </is>
      </c>
      <c r="B236">
        <f>Inputs_State!$B$1</f>
        <v/>
      </c>
      <c r="C236" t="inlineStr">
        <is>
          <t>Customer Contacts - Telephone</t>
        </is>
      </c>
      <c r="D236" t="n">
        <v>2473</v>
      </c>
      <c r="E236">
        <f>IFERROR(VLOOKUP(C236,Weights!$A$2:$B$11,2,FALSE),0.2)</f>
        <v/>
      </c>
      <c r="F236">
        <f>D236*E236</f>
        <v/>
      </c>
    </row>
    <row r="237">
      <c r="A237" t="inlineStr">
        <is>
          <t>Freeborn</t>
        </is>
      </c>
      <c r="B237">
        <f>Inputs_State!$B$1</f>
        <v/>
      </c>
      <c r="C237" t="inlineStr">
        <is>
          <t>Customer Contacts - Email/Portal</t>
        </is>
      </c>
      <c r="D237" t="n">
        <v>16285</v>
      </c>
      <c r="E237">
        <f>IFERROR(VLOOKUP(C237,Weights!$A$2:$B$11,2,FALSE),0.15)</f>
        <v/>
      </c>
      <c r="F237">
        <f>D237*E237</f>
        <v/>
      </c>
    </row>
    <row r="238">
      <c r="A238" t="inlineStr">
        <is>
          <t>Freeborn</t>
        </is>
      </c>
      <c r="B238">
        <f>Inputs_State!$B$1</f>
        <v/>
      </c>
      <c r="C238" t="inlineStr">
        <is>
          <t>Interpreter/Language Services</t>
        </is>
      </c>
      <c r="D238" t="n">
        <v>1398</v>
      </c>
      <c r="E238">
        <f>IFERROR(VLOOKUP(C238,Weights!$A$2:$B$11,2,FALSE),0.6)</f>
        <v/>
      </c>
      <c r="F238">
        <f>D238*E238</f>
        <v/>
      </c>
    </row>
    <row r="239">
      <c r="A239" t="inlineStr">
        <is>
          <t>Freeborn</t>
        </is>
      </c>
      <c r="B239">
        <f>Inputs_State!$B$1</f>
        <v/>
      </c>
      <c r="C239" t="inlineStr">
        <is>
          <t>Safety / High Risk Handling</t>
        </is>
      </c>
      <c r="D239" t="n">
        <v>253</v>
      </c>
      <c r="E239">
        <f>IFERROR(VLOOKUP(C239,Weights!$A$2:$B$11,2,FALSE),0.7)</f>
        <v/>
      </c>
      <c r="F239">
        <f>D239*E239</f>
        <v/>
      </c>
    </row>
    <row r="240">
      <c r="A240" t="inlineStr">
        <is>
          <t>Freeborn</t>
        </is>
      </c>
      <c r="B240">
        <f>Inputs_State!$B$1</f>
        <v/>
      </c>
      <c r="C240" t="inlineStr">
        <is>
          <t>Incarceration Coordination</t>
        </is>
      </c>
      <c r="D240" t="n">
        <v>5259</v>
      </c>
      <c r="E240">
        <f>IFERROR(VLOOKUP(C240,Weights!$A$2:$B$11,2,FALSE),0.5)</f>
        <v/>
      </c>
      <c r="F240">
        <f>D240*E240</f>
        <v/>
      </c>
    </row>
    <row r="241">
      <c r="A241" t="inlineStr">
        <is>
          <t>Freeborn</t>
        </is>
      </c>
      <c r="B241">
        <f>Inputs_State!$B$1</f>
        <v/>
      </c>
      <c r="C241" t="inlineStr">
        <is>
          <t>Unlocatable / Skip Work</t>
        </is>
      </c>
      <c r="D241" t="n">
        <v>273</v>
      </c>
      <c r="E241">
        <f>IFERROR(VLOOKUP(C241,Weights!$A$2:$B$11,2,FALSE),0.8)</f>
        <v/>
      </c>
      <c r="F241">
        <f>D241*E241</f>
        <v/>
      </c>
    </row>
    <row r="242">
      <c r="A242" t="inlineStr">
        <is>
          <t>Goodhue</t>
        </is>
      </c>
      <c r="B242">
        <f>Inputs_State!$B$1</f>
        <v/>
      </c>
      <c r="C242" t="inlineStr">
        <is>
          <t>Standard Case Work</t>
        </is>
      </c>
      <c r="D242" t="n">
        <v>537</v>
      </c>
      <c r="E242">
        <f>IFERROR(VLOOKUP(C242,Weights!$A$2:$B$11,2,FALSE),1)</f>
        <v/>
      </c>
      <c r="F242">
        <f>D242*E242</f>
        <v/>
      </c>
    </row>
    <row r="243">
      <c r="A243" t="inlineStr">
        <is>
          <t>Goodhue</t>
        </is>
      </c>
      <c r="B243">
        <f>Inputs_State!$B$1</f>
        <v/>
      </c>
      <c r="C243" t="inlineStr">
        <is>
          <t>Full Locate / Long Locate</t>
        </is>
      </c>
      <c r="D243" t="n">
        <v>821</v>
      </c>
      <c r="E243">
        <f>IFERROR(VLOOKUP(C243,Weights!$A$2:$B$11,2,FALSE),2)</f>
        <v/>
      </c>
      <c r="F243">
        <f>D243*E243</f>
        <v/>
      </c>
    </row>
    <row r="244">
      <c r="A244" t="inlineStr">
        <is>
          <t>Goodhue</t>
        </is>
      </c>
      <c r="B244">
        <f>Inputs_State!$B$1</f>
        <v/>
      </c>
      <c r="C244" t="inlineStr">
        <is>
          <t>METS / Interstate Complexity</t>
        </is>
      </c>
      <c r="D244" t="n">
        <v>196</v>
      </c>
      <c r="E244">
        <f>IFERROR(VLOOKUP(C244,Weights!$A$2:$B$11,2,FALSE),1.5)</f>
        <v/>
      </c>
      <c r="F244">
        <f>D244*E244</f>
        <v/>
      </c>
    </row>
    <row r="245">
      <c r="A245" t="inlineStr">
        <is>
          <t>Goodhue</t>
        </is>
      </c>
      <c r="B245">
        <f>Inputs_State!$B$1</f>
        <v/>
      </c>
      <c r="C245" t="inlineStr">
        <is>
          <t>Enforcement / R&amp;M Actions</t>
        </is>
      </c>
      <c r="D245" t="n">
        <v>660</v>
      </c>
      <c r="E245">
        <f>IFERROR(VLOOKUP(C245,Weights!$A$2:$B$11,2,FALSE),1.3)</f>
        <v/>
      </c>
      <c r="F245">
        <f>D245*E245</f>
        <v/>
      </c>
    </row>
    <row r="246">
      <c r="A246" t="inlineStr">
        <is>
          <t>Goodhue</t>
        </is>
      </c>
      <c r="B246">
        <f>Inputs_State!$B$1</f>
        <v/>
      </c>
      <c r="C246" t="inlineStr">
        <is>
          <t>Customer Contacts - Telephone</t>
        </is>
      </c>
      <c r="D246" t="n">
        <v>4462</v>
      </c>
      <c r="E246">
        <f>IFERROR(VLOOKUP(C246,Weights!$A$2:$B$11,2,FALSE),0.2)</f>
        <v/>
      </c>
      <c r="F246">
        <f>D246*E246</f>
        <v/>
      </c>
    </row>
    <row r="247">
      <c r="A247" t="inlineStr">
        <is>
          <t>Goodhue</t>
        </is>
      </c>
      <c r="B247">
        <f>Inputs_State!$B$1</f>
        <v/>
      </c>
      <c r="C247" t="inlineStr">
        <is>
          <t>Customer Contacts - Email/Portal</t>
        </is>
      </c>
      <c r="D247" t="n">
        <v>35001</v>
      </c>
      <c r="E247">
        <f>IFERROR(VLOOKUP(C247,Weights!$A$2:$B$11,2,FALSE),0.15)</f>
        <v/>
      </c>
      <c r="F247">
        <f>D247*E247</f>
        <v/>
      </c>
    </row>
    <row r="248">
      <c r="A248" t="inlineStr">
        <is>
          <t>Goodhue</t>
        </is>
      </c>
      <c r="B248">
        <f>Inputs_State!$B$1</f>
        <v/>
      </c>
      <c r="C248" t="inlineStr">
        <is>
          <t>Interpreter/Language Services</t>
        </is>
      </c>
      <c r="D248" t="n">
        <v>2899</v>
      </c>
      <c r="E248">
        <f>IFERROR(VLOOKUP(C248,Weights!$A$2:$B$11,2,FALSE),0.6)</f>
        <v/>
      </c>
      <c r="F248">
        <f>D248*E248</f>
        <v/>
      </c>
    </row>
    <row r="249">
      <c r="A249" t="inlineStr">
        <is>
          <t>Goodhue</t>
        </is>
      </c>
      <c r="B249">
        <f>Inputs_State!$B$1</f>
        <v/>
      </c>
      <c r="C249" t="inlineStr">
        <is>
          <t>Safety / High Risk Handling</t>
        </is>
      </c>
      <c r="D249" t="n">
        <v>421</v>
      </c>
      <c r="E249">
        <f>IFERROR(VLOOKUP(C249,Weights!$A$2:$B$11,2,FALSE),0.7)</f>
        <v/>
      </c>
      <c r="F249">
        <f>D249*E249</f>
        <v/>
      </c>
    </row>
    <row r="250">
      <c r="A250" t="inlineStr">
        <is>
          <t>Goodhue</t>
        </is>
      </c>
      <c r="B250">
        <f>Inputs_State!$B$1</f>
        <v/>
      </c>
      <c r="C250" t="inlineStr">
        <is>
          <t>Incarceration Coordination</t>
        </is>
      </c>
      <c r="D250" t="n">
        <v>7856</v>
      </c>
      <c r="E250">
        <f>IFERROR(VLOOKUP(C250,Weights!$A$2:$B$11,2,FALSE),0.5)</f>
        <v/>
      </c>
      <c r="F250">
        <f>D250*E250</f>
        <v/>
      </c>
    </row>
    <row r="251">
      <c r="A251" t="inlineStr">
        <is>
          <t>Goodhue</t>
        </is>
      </c>
      <c r="B251">
        <f>Inputs_State!$B$1</f>
        <v/>
      </c>
      <c r="C251" t="inlineStr">
        <is>
          <t>Unlocatable / Skip Work</t>
        </is>
      </c>
      <c r="D251" t="n">
        <v>573</v>
      </c>
      <c r="E251">
        <f>IFERROR(VLOOKUP(C251,Weights!$A$2:$B$11,2,FALSE),0.8)</f>
        <v/>
      </c>
      <c r="F251">
        <f>D251*E251</f>
        <v/>
      </c>
    </row>
    <row r="252">
      <c r="A252" t="inlineStr">
        <is>
          <t>Grant</t>
        </is>
      </c>
      <c r="B252">
        <f>Inputs_State!$B$1</f>
        <v/>
      </c>
      <c r="C252" t="inlineStr">
        <is>
          <t>Standard Case Work</t>
        </is>
      </c>
      <c r="D252" t="n">
        <v>321</v>
      </c>
      <c r="E252">
        <f>IFERROR(VLOOKUP(C252,Weights!$A$2:$B$11,2,FALSE),1)</f>
        <v/>
      </c>
      <c r="F252">
        <f>D252*E252</f>
        <v/>
      </c>
    </row>
    <row r="253">
      <c r="A253" t="inlineStr">
        <is>
          <t>Grant</t>
        </is>
      </c>
      <c r="B253">
        <f>Inputs_State!$B$1</f>
        <v/>
      </c>
      <c r="C253" t="inlineStr">
        <is>
          <t>Full Locate / Long Locate</t>
        </is>
      </c>
      <c r="D253" t="n">
        <v>566</v>
      </c>
      <c r="E253">
        <f>IFERROR(VLOOKUP(C253,Weights!$A$2:$B$11,2,FALSE),2)</f>
        <v/>
      </c>
      <c r="F253">
        <f>D253*E253</f>
        <v/>
      </c>
    </row>
    <row r="254">
      <c r="A254" t="inlineStr">
        <is>
          <t>Grant</t>
        </is>
      </c>
      <c r="B254">
        <f>Inputs_State!$B$1</f>
        <v/>
      </c>
      <c r="C254" t="inlineStr">
        <is>
          <t>METS / Interstate Complexity</t>
        </is>
      </c>
      <c r="D254" t="n">
        <v>126</v>
      </c>
      <c r="E254">
        <f>IFERROR(VLOOKUP(C254,Weights!$A$2:$B$11,2,FALSE),1.5)</f>
        <v/>
      </c>
      <c r="F254">
        <f>D254*E254</f>
        <v/>
      </c>
    </row>
    <row r="255">
      <c r="A255" t="inlineStr">
        <is>
          <t>Grant</t>
        </is>
      </c>
      <c r="B255">
        <f>Inputs_State!$B$1</f>
        <v/>
      </c>
      <c r="C255" t="inlineStr">
        <is>
          <t>Enforcement / R&amp;M Actions</t>
        </is>
      </c>
      <c r="D255" t="n">
        <v>401</v>
      </c>
      <c r="E255">
        <f>IFERROR(VLOOKUP(C255,Weights!$A$2:$B$11,2,FALSE),1.3)</f>
        <v/>
      </c>
      <c r="F255">
        <f>D255*E255</f>
        <v/>
      </c>
    </row>
    <row r="256">
      <c r="A256" t="inlineStr">
        <is>
          <t>Grant</t>
        </is>
      </c>
      <c r="B256">
        <f>Inputs_State!$B$1</f>
        <v/>
      </c>
      <c r="C256" t="inlineStr">
        <is>
          <t>Customer Contacts - Telephone</t>
        </is>
      </c>
      <c r="D256" t="n">
        <v>3433</v>
      </c>
      <c r="E256">
        <f>IFERROR(VLOOKUP(C256,Weights!$A$2:$B$11,2,FALSE),0.2)</f>
        <v/>
      </c>
      <c r="F256">
        <f>D256*E256</f>
        <v/>
      </c>
    </row>
    <row r="257">
      <c r="A257" t="inlineStr">
        <is>
          <t>Grant</t>
        </is>
      </c>
      <c r="B257">
        <f>Inputs_State!$B$1</f>
        <v/>
      </c>
      <c r="C257" t="inlineStr">
        <is>
          <t>Customer Contacts - Email/Portal</t>
        </is>
      </c>
      <c r="D257" t="n">
        <v>18274</v>
      </c>
      <c r="E257">
        <f>IFERROR(VLOOKUP(C257,Weights!$A$2:$B$11,2,FALSE),0.15)</f>
        <v/>
      </c>
      <c r="F257">
        <f>D257*E257</f>
        <v/>
      </c>
    </row>
    <row r="258">
      <c r="A258" t="inlineStr">
        <is>
          <t>Grant</t>
        </is>
      </c>
      <c r="B258">
        <f>Inputs_State!$B$1</f>
        <v/>
      </c>
      <c r="C258" t="inlineStr">
        <is>
          <t>Interpreter/Language Services</t>
        </is>
      </c>
      <c r="D258" t="n">
        <v>1514</v>
      </c>
      <c r="E258">
        <f>IFERROR(VLOOKUP(C258,Weights!$A$2:$B$11,2,FALSE),0.6)</f>
        <v/>
      </c>
      <c r="F258">
        <f>D258*E258</f>
        <v/>
      </c>
    </row>
    <row r="259">
      <c r="A259" t="inlineStr">
        <is>
          <t>Grant</t>
        </is>
      </c>
      <c r="B259">
        <f>Inputs_State!$B$1</f>
        <v/>
      </c>
      <c r="C259" t="inlineStr">
        <is>
          <t>Safety / High Risk Handling</t>
        </is>
      </c>
      <c r="D259" t="n">
        <v>263</v>
      </c>
      <c r="E259">
        <f>IFERROR(VLOOKUP(C259,Weights!$A$2:$B$11,2,FALSE),0.7)</f>
        <v/>
      </c>
      <c r="F259">
        <f>D259*E259</f>
        <v/>
      </c>
    </row>
    <row r="260">
      <c r="A260" t="inlineStr">
        <is>
          <t>Grant</t>
        </is>
      </c>
      <c r="B260">
        <f>Inputs_State!$B$1</f>
        <v/>
      </c>
      <c r="C260" t="inlineStr">
        <is>
          <t>Incarceration Coordination</t>
        </is>
      </c>
      <c r="D260" t="n">
        <v>5112</v>
      </c>
      <c r="E260">
        <f>IFERROR(VLOOKUP(C260,Weights!$A$2:$B$11,2,FALSE),0.5)</f>
        <v/>
      </c>
      <c r="F260">
        <f>D260*E260</f>
        <v/>
      </c>
    </row>
    <row r="261">
      <c r="A261" t="inlineStr">
        <is>
          <t>Grant</t>
        </is>
      </c>
      <c r="B261">
        <f>Inputs_State!$B$1</f>
        <v/>
      </c>
      <c r="C261" t="inlineStr">
        <is>
          <t>Unlocatable / Skip Work</t>
        </is>
      </c>
      <c r="D261" t="n">
        <v>329</v>
      </c>
      <c r="E261">
        <f>IFERROR(VLOOKUP(C261,Weights!$A$2:$B$11,2,FALSE),0.8)</f>
        <v/>
      </c>
      <c r="F261">
        <f>D261*E261</f>
        <v/>
      </c>
    </row>
    <row r="262">
      <c r="A262" t="inlineStr">
        <is>
          <t>Hennepin</t>
        </is>
      </c>
      <c r="B262">
        <f>Inputs_State!$B$1</f>
        <v/>
      </c>
      <c r="C262" t="inlineStr">
        <is>
          <t>Standard Case Work</t>
        </is>
      </c>
      <c r="D262" t="n">
        <v>1034</v>
      </c>
      <c r="E262">
        <f>IFERROR(VLOOKUP(C262,Weights!$A$2:$B$11,2,FALSE),1)</f>
        <v/>
      </c>
      <c r="F262">
        <f>D262*E262</f>
        <v/>
      </c>
    </row>
    <row r="263">
      <c r="A263" t="inlineStr">
        <is>
          <t>Hennepin</t>
        </is>
      </c>
      <c r="B263">
        <f>Inputs_State!$B$1</f>
        <v/>
      </c>
      <c r="C263" t="inlineStr">
        <is>
          <t>Full Locate / Long Locate</t>
        </is>
      </c>
      <c r="D263" t="n">
        <v>1520</v>
      </c>
      <c r="E263">
        <f>IFERROR(VLOOKUP(C263,Weights!$A$2:$B$11,2,FALSE),2)</f>
        <v/>
      </c>
      <c r="F263">
        <f>D263*E263</f>
        <v/>
      </c>
    </row>
    <row r="264">
      <c r="A264" t="inlineStr">
        <is>
          <t>Hennepin</t>
        </is>
      </c>
      <c r="B264">
        <f>Inputs_State!$B$1</f>
        <v/>
      </c>
      <c r="C264" t="inlineStr">
        <is>
          <t>METS / Interstate Complexity</t>
        </is>
      </c>
      <c r="D264" t="n">
        <v>459</v>
      </c>
      <c r="E264">
        <f>IFERROR(VLOOKUP(C264,Weights!$A$2:$B$11,2,FALSE),1.5)</f>
        <v/>
      </c>
      <c r="F264">
        <f>D264*E264</f>
        <v/>
      </c>
    </row>
    <row r="265">
      <c r="A265" t="inlineStr">
        <is>
          <t>Hennepin</t>
        </is>
      </c>
      <c r="B265">
        <f>Inputs_State!$B$1</f>
        <v/>
      </c>
      <c r="C265" t="inlineStr">
        <is>
          <t>Enforcement / R&amp;M Actions</t>
        </is>
      </c>
      <c r="D265" t="n">
        <v>1365</v>
      </c>
      <c r="E265">
        <f>IFERROR(VLOOKUP(C265,Weights!$A$2:$B$11,2,FALSE),1.3)</f>
        <v/>
      </c>
      <c r="F265">
        <f>D265*E265</f>
        <v/>
      </c>
    </row>
    <row r="266">
      <c r="A266" t="inlineStr">
        <is>
          <t>Hennepin</t>
        </is>
      </c>
      <c r="B266">
        <f>Inputs_State!$B$1</f>
        <v/>
      </c>
      <c r="C266" t="inlineStr">
        <is>
          <t>Customer Contacts - Telephone</t>
        </is>
      </c>
      <c r="D266" t="n">
        <v>10465</v>
      </c>
      <c r="E266">
        <f>IFERROR(VLOOKUP(C266,Weights!$A$2:$B$11,2,FALSE),0.2)</f>
        <v/>
      </c>
      <c r="F266">
        <f>D266*E266</f>
        <v/>
      </c>
    </row>
    <row r="267">
      <c r="A267" t="inlineStr">
        <is>
          <t>Hennepin</t>
        </is>
      </c>
      <c r="B267">
        <f>Inputs_State!$B$1</f>
        <v/>
      </c>
      <c r="C267" t="inlineStr">
        <is>
          <t>Customer Contacts - Email/Portal</t>
        </is>
      </c>
      <c r="D267" t="n">
        <v>54842</v>
      </c>
      <c r="E267">
        <f>IFERROR(VLOOKUP(C267,Weights!$A$2:$B$11,2,FALSE),0.15)</f>
        <v/>
      </c>
      <c r="F267">
        <f>D267*E267</f>
        <v/>
      </c>
    </row>
    <row r="268">
      <c r="A268" t="inlineStr">
        <is>
          <t>Hennepin</t>
        </is>
      </c>
      <c r="B268">
        <f>Inputs_State!$B$1</f>
        <v/>
      </c>
      <c r="C268" t="inlineStr">
        <is>
          <t>Interpreter/Language Services</t>
        </is>
      </c>
      <c r="D268" t="n">
        <v>4630</v>
      </c>
      <c r="E268">
        <f>IFERROR(VLOOKUP(C268,Weights!$A$2:$B$11,2,FALSE),0.6)</f>
        <v/>
      </c>
      <c r="F268">
        <f>D268*E268</f>
        <v/>
      </c>
    </row>
    <row r="269">
      <c r="A269" t="inlineStr">
        <is>
          <t>Hennepin</t>
        </is>
      </c>
      <c r="B269">
        <f>Inputs_State!$B$1</f>
        <v/>
      </c>
      <c r="C269" t="inlineStr">
        <is>
          <t>Safety / High Risk Handling</t>
        </is>
      </c>
      <c r="D269" t="n">
        <v>924</v>
      </c>
      <c r="E269">
        <f>IFERROR(VLOOKUP(C269,Weights!$A$2:$B$11,2,FALSE),0.7)</f>
        <v/>
      </c>
      <c r="F269">
        <f>D269*E269</f>
        <v/>
      </c>
    </row>
    <row r="270">
      <c r="A270" t="inlineStr">
        <is>
          <t>Hennepin</t>
        </is>
      </c>
      <c r="B270">
        <f>Inputs_State!$B$1</f>
        <v/>
      </c>
      <c r="C270" t="inlineStr">
        <is>
          <t>Incarceration Coordination</t>
        </is>
      </c>
      <c r="D270" t="n">
        <v>16215</v>
      </c>
      <c r="E270">
        <f>IFERROR(VLOOKUP(C270,Weights!$A$2:$B$11,2,FALSE),0.5)</f>
        <v/>
      </c>
      <c r="F270">
        <f>D270*E270</f>
        <v/>
      </c>
    </row>
    <row r="271">
      <c r="A271" t="inlineStr">
        <is>
          <t>Hennepin</t>
        </is>
      </c>
      <c r="B271">
        <f>Inputs_State!$B$1</f>
        <v/>
      </c>
      <c r="C271" t="inlineStr">
        <is>
          <t>Unlocatable / Skip Work</t>
        </is>
      </c>
      <c r="D271" t="n">
        <v>1195</v>
      </c>
      <c r="E271">
        <f>IFERROR(VLOOKUP(C271,Weights!$A$2:$B$11,2,FALSE),0.8)</f>
        <v/>
      </c>
      <c r="F271">
        <f>D271*E271</f>
        <v/>
      </c>
    </row>
    <row r="272">
      <c r="A272" t="inlineStr">
        <is>
          <t>Houston</t>
        </is>
      </c>
      <c r="B272">
        <f>Inputs_State!$B$1</f>
        <v/>
      </c>
      <c r="C272" t="inlineStr">
        <is>
          <t>Standard Case Work</t>
        </is>
      </c>
      <c r="D272" t="n">
        <v>135</v>
      </c>
      <c r="E272">
        <f>IFERROR(VLOOKUP(C272,Weights!$A$2:$B$11,2,FALSE),1)</f>
        <v/>
      </c>
      <c r="F272">
        <f>D272*E272</f>
        <v/>
      </c>
    </row>
    <row r="273">
      <c r="A273" t="inlineStr">
        <is>
          <t>Houston</t>
        </is>
      </c>
      <c r="B273">
        <f>Inputs_State!$B$1</f>
        <v/>
      </c>
      <c r="C273" t="inlineStr">
        <is>
          <t>Full Locate / Long Locate</t>
        </is>
      </c>
      <c r="D273" t="n">
        <v>223</v>
      </c>
      <c r="E273">
        <f>IFERROR(VLOOKUP(C273,Weights!$A$2:$B$11,2,FALSE),2)</f>
        <v/>
      </c>
      <c r="F273">
        <f>D273*E273</f>
        <v/>
      </c>
    </row>
    <row r="274">
      <c r="A274" t="inlineStr">
        <is>
          <t>Houston</t>
        </is>
      </c>
      <c r="B274">
        <f>Inputs_State!$B$1</f>
        <v/>
      </c>
      <c r="C274" t="inlineStr">
        <is>
          <t>METS / Interstate Complexity</t>
        </is>
      </c>
      <c r="D274" t="n">
        <v>64</v>
      </c>
      <c r="E274">
        <f>IFERROR(VLOOKUP(C274,Weights!$A$2:$B$11,2,FALSE),1.5)</f>
        <v/>
      </c>
      <c r="F274">
        <f>D274*E274</f>
        <v/>
      </c>
    </row>
    <row r="275">
      <c r="A275" t="inlineStr">
        <is>
          <t>Houston</t>
        </is>
      </c>
      <c r="B275">
        <f>Inputs_State!$B$1</f>
        <v/>
      </c>
      <c r="C275" t="inlineStr">
        <is>
          <t>Enforcement / R&amp;M Actions</t>
        </is>
      </c>
      <c r="D275" t="n">
        <v>182</v>
      </c>
      <c r="E275">
        <f>IFERROR(VLOOKUP(C275,Weights!$A$2:$B$11,2,FALSE),1.3)</f>
        <v/>
      </c>
      <c r="F275">
        <f>D275*E275</f>
        <v/>
      </c>
    </row>
    <row r="276">
      <c r="A276" t="inlineStr">
        <is>
          <t>Houston</t>
        </is>
      </c>
      <c r="B276">
        <f>Inputs_State!$B$1</f>
        <v/>
      </c>
      <c r="C276" t="inlineStr">
        <is>
          <t>Customer Contacts - Telephone</t>
        </is>
      </c>
      <c r="D276" t="n">
        <v>1342</v>
      </c>
      <c r="E276">
        <f>IFERROR(VLOOKUP(C276,Weights!$A$2:$B$11,2,FALSE),0.2)</f>
        <v/>
      </c>
      <c r="F276">
        <f>D276*E276</f>
        <v/>
      </c>
    </row>
    <row r="277">
      <c r="A277" t="inlineStr">
        <is>
          <t>Houston</t>
        </is>
      </c>
      <c r="B277">
        <f>Inputs_State!$B$1</f>
        <v/>
      </c>
      <c r="C277" t="inlineStr">
        <is>
          <t>Customer Contacts - Email/Portal</t>
        </is>
      </c>
      <c r="D277" t="n">
        <v>9658</v>
      </c>
      <c r="E277">
        <f>IFERROR(VLOOKUP(C277,Weights!$A$2:$B$11,2,FALSE),0.15)</f>
        <v/>
      </c>
      <c r="F277">
        <f>D277*E277</f>
        <v/>
      </c>
    </row>
    <row r="278">
      <c r="A278" t="inlineStr">
        <is>
          <t>Houston</t>
        </is>
      </c>
      <c r="B278">
        <f>Inputs_State!$B$1</f>
        <v/>
      </c>
      <c r="C278" t="inlineStr">
        <is>
          <t>Interpreter/Language Services</t>
        </is>
      </c>
      <c r="D278" t="n">
        <v>641</v>
      </c>
      <c r="E278">
        <f>IFERROR(VLOOKUP(C278,Weights!$A$2:$B$11,2,FALSE),0.6)</f>
        <v/>
      </c>
      <c r="F278">
        <f>D278*E278</f>
        <v/>
      </c>
    </row>
    <row r="279">
      <c r="A279" t="inlineStr">
        <is>
          <t>Houston</t>
        </is>
      </c>
      <c r="B279">
        <f>Inputs_State!$B$1</f>
        <v/>
      </c>
      <c r="C279" t="inlineStr">
        <is>
          <t>Safety / High Risk Handling</t>
        </is>
      </c>
      <c r="D279" t="n">
        <v>141</v>
      </c>
      <c r="E279">
        <f>IFERROR(VLOOKUP(C279,Weights!$A$2:$B$11,2,FALSE),0.7)</f>
        <v/>
      </c>
      <c r="F279">
        <f>D279*E279</f>
        <v/>
      </c>
    </row>
    <row r="280">
      <c r="A280" t="inlineStr">
        <is>
          <t>Houston</t>
        </is>
      </c>
      <c r="B280">
        <f>Inputs_State!$B$1</f>
        <v/>
      </c>
      <c r="C280" t="inlineStr">
        <is>
          <t>Incarceration Coordination</t>
        </is>
      </c>
      <c r="D280" t="n">
        <v>2830</v>
      </c>
      <c r="E280">
        <f>IFERROR(VLOOKUP(C280,Weights!$A$2:$B$11,2,FALSE),0.5)</f>
        <v/>
      </c>
      <c r="F280">
        <f>D280*E280</f>
        <v/>
      </c>
    </row>
    <row r="281">
      <c r="A281" t="inlineStr">
        <is>
          <t>Houston</t>
        </is>
      </c>
      <c r="B281">
        <f>Inputs_State!$B$1</f>
        <v/>
      </c>
      <c r="C281" t="inlineStr">
        <is>
          <t>Unlocatable / Skip Work</t>
        </is>
      </c>
      <c r="D281" t="n">
        <v>165</v>
      </c>
      <c r="E281">
        <f>IFERROR(VLOOKUP(C281,Weights!$A$2:$B$11,2,FALSE),0.8)</f>
        <v/>
      </c>
      <c r="F281">
        <f>D281*E281</f>
        <v/>
      </c>
    </row>
    <row r="282">
      <c r="A282" t="inlineStr">
        <is>
          <t>Hubbard</t>
        </is>
      </c>
      <c r="B282">
        <f>Inputs_State!$B$1</f>
        <v/>
      </c>
      <c r="C282" t="inlineStr">
        <is>
          <t>Standard Case Work</t>
        </is>
      </c>
      <c r="D282" t="n">
        <v>115</v>
      </c>
      <c r="E282">
        <f>IFERROR(VLOOKUP(C282,Weights!$A$2:$B$11,2,FALSE),1)</f>
        <v/>
      </c>
      <c r="F282">
        <f>D282*E282</f>
        <v/>
      </c>
    </row>
    <row r="283">
      <c r="A283" t="inlineStr">
        <is>
          <t>Hubbard</t>
        </is>
      </c>
      <c r="B283">
        <f>Inputs_State!$B$1</f>
        <v/>
      </c>
      <c r="C283" t="inlineStr">
        <is>
          <t>Full Locate / Long Locate</t>
        </is>
      </c>
      <c r="D283" t="n">
        <v>213</v>
      </c>
      <c r="E283">
        <f>IFERROR(VLOOKUP(C283,Weights!$A$2:$B$11,2,FALSE),2)</f>
        <v/>
      </c>
      <c r="F283">
        <f>D283*E283</f>
        <v/>
      </c>
    </row>
    <row r="284">
      <c r="A284" t="inlineStr">
        <is>
          <t>Hubbard</t>
        </is>
      </c>
      <c r="B284">
        <f>Inputs_State!$B$1</f>
        <v/>
      </c>
      <c r="C284" t="inlineStr">
        <is>
          <t>METS / Interstate Complexity</t>
        </is>
      </c>
      <c r="D284" t="n">
        <v>66</v>
      </c>
      <c r="E284">
        <f>IFERROR(VLOOKUP(C284,Weights!$A$2:$B$11,2,FALSE),1.5)</f>
        <v/>
      </c>
      <c r="F284">
        <f>D284*E284</f>
        <v/>
      </c>
    </row>
    <row r="285">
      <c r="A285" t="inlineStr">
        <is>
          <t>Hubbard</t>
        </is>
      </c>
      <c r="B285">
        <f>Inputs_State!$B$1</f>
        <v/>
      </c>
      <c r="C285" t="inlineStr">
        <is>
          <t>Enforcement / R&amp;M Actions</t>
        </is>
      </c>
      <c r="D285" t="n">
        <v>201</v>
      </c>
      <c r="E285">
        <f>IFERROR(VLOOKUP(C285,Weights!$A$2:$B$11,2,FALSE),1.3)</f>
        <v/>
      </c>
      <c r="F285">
        <f>D285*E285</f>
        <v/>
      </c>
    </row>
    <row r="286">
      <c r="A286" t="inlineStr">
        <is>
          <t>Hubbard</t>
        </is>
      </c>
      <c r="B286">
        <f>Inputs_State!$B$1</f>
        <v/>
      </c>
      <c r="C286" t="inlineStr">
        <is>
          <t>Customer Contacts - Telephone</t>
        </is>
      </c>
      <c r="D286" t="n">
        <v>1143</v>
      </c>
      <c r="E286">
        <f>IFERROR(VLOOKUP(C286,Weights!$A$2:$B$11,2,FALSE),0.2)</f>
        <v/>
      </c>
      <c r="F286">
        <f>D286*E286</f>
        <v/>
      </c>
    </row>
    <row r="287">
      <c r="A287" t="inlineStr">
        <is>
          <t>Hubbard</t>
        </is>
      </c>
      <c r="B287">
        <f>Inputs_State!$B$1</f>
        <v/>
      </c>
      <c r="C287" t="inlineStr">
        <is>
          <t>Customer Contacts - Email/Portal</t>
        </is>
      </c>
      <c r="D287" t="n">
        <v>9999</v>
      </c>
      <c r="E287">
        <f>IFERROR(VLOOKUP(C287,Weights!$A$2:$B$11,2,FALSE),0.15)</f>
        <v/>
      </c>
      <c r="F287">
        <f>D287*E287</f>
        <v/>
      </c>
    </row>
    <row r="288">
      <c r="A288" t="inlineStr">
        <is>
          <t>Hubbard</t>
        </is>
      </c>
      <c r="B288">
        <f>Inputs_State!$B$1</f>
        <v/>
      </c>
      <c r="C288" t="inlineStr">
        <is>
          <t>Interpreter/Language Services</t>
        </is>
      </c>
      <c r="D288" t="n">
        <v>729</v>
      </c>
      <c r="E288">
        <f>IFERROR(VLOOKUP(C288,Weights!$A$2:$B$11,2,FALSE),0.6)</f>
        <v/>
      </c>
      <c r="F288">
        <f>D288*E288</f>
        <v/>
      </c>
    </row>
    <row r="289">
      <c r="A289" t="inlineStr">
        <is>
          <t>Hubbard</t>
        </is>
      </c>
      <c r="B289">
        <f>Inputs_State!$B$1</f>
        <v/>
      </c>
      <c r="C289" t="inlineStr">
        <is>
          <t>Safety / High Risk Handling</t>
        </is>
      </c>
      <c r="D289" t="n">
        <v>109</v>
      </c>
      <c r="E289">
        <f>IFERROR(VLOOKUP(C289,Weights!$A$2:$B$11,2,FALSE),0.7)</f>
        <v/>
      </c>
      <c r="F289">
        <f>D289*E289</f>
        <v/>
      </c>
    </row>
    <row r="290">
      <c r="A290" t="inlineStr">
        <is>
          <t>Hubbard</t>
        </is>
      </c>
      <c r="B290">
        <f>Inputs_State!$B$1</f>
        <v/>
      </c>
      <c r="C290" t="inlineStr">
        <is>
          <t>Incarceration Coordination</t>
        </is>
      </c>
      <c r="D290" t="n">
        <v>2595</v>
      </c>
      <c r="E290">
        <f>IFERROR(VLOOKUP(C290,Weights!$A$2:$B$11,2,FALSE),0.5)</f>
        <v/>
      </c>
      <c r="F290">
        <f>D290*E290</f>
        <v/>
      </c>
    </row>
    <row r="291">
      <c r="A291" t="inlineStr">
        <is>
          <t>Hubbard</t>
        </is>
      </c>
      <c r="B291">
        <f>Inputs_State!$B$1</f>
        <v/>
      </c>
      <c r="C291" t="inlineStr">
        <is>
          <t>Unlocatable / Skip Work</t>
        </is>
      </c>
      <c r="D291" t="n">
        <v>170</v>
      </c>
      <c r="E291">
        <f>IFERROR(VLOOKUP(C291,Weights!$A$2:$B$11,2,FALSE),0.8)</f>
        <v/>
      </c>
      <c r="F291">
        <f>D291*E291</f>
        <v/>
      </c>
    </row>
    <row r="292">
      <c r="A292" t="inlineStr">
        <is>
          <t>Isanti</t>
        </is>
      </c>
      <c r="B292">
        <f>Inputs_State!$B$1</f>
        <v/>
      </c>
      <c r="C292" t="inlineStr">
        <is>
          <t>Standard Case Work</t>
        </is>
      </c>
      <c r="D292" t="n">
        <v>274</v>
      </c>
      <c r="E292">
        <f>IFERROR(VLOOKUP(C292,Weights!$A$2:$B$11,2,FALSE),1)</f>
        <v/>
      </c>
      <c r="F292">
        <f>D292*E292</f>
        <v/>
      </c>
    </row>
    <row r="293">
      <c r="A293" t="inlineStr">
        <is>
          <t>Isanti</t>
        </is>
      </c>
      <c r="B293">
        <f>Inputs_State!$B$1</f>
        <v/>
      </c>
      <c r="C293" t="inlineStr">
        <is>
          <t>Full Locate / Long Locate</t>
        </is>
      </c>
      <c r="D293" t="n">
        <v>449</v>
      </c>
      <c r="E293">
        <f>IFERROR(VLOOKUP(C293,Weights!$A$2:$B$11,2,FALSE),2)</f>
        <v/>
      </c>
      <c r="F293">
        <f>D293*E293</f>
        <v/>
      </c>
    </row>
    <row r="294">
      <c r="A294" t="inlineStr">
        <is>
          <t>Isanti</t>
        </is>
      </c>
      <c r="B294">
        <f>Inputs_State!$B$1</f>
        <v/>
      </c>
      <c r="C294" t="inlineStr">
        <is>
          <t>METS / Interstate Complexity</t>
        </is>
      </c>
      <c r="D294" t="n">
        <v>119</v>
      </c>
      <c r="E294">
        <f>IFERROR(VLOOKUP(C294,Weights!$A$2:$B$11,2,FALSE),1.5)</f>
        <v/>
      </c>
      <c r="F294">
        <f>D294*E294</f>
        <v/>
      </c>
    </row>
    <row r="295">
      <c r="A295" t="inlineStr">
        <is>
          <t>Isanti</t>
        </is>
      </c>
      <c r="B295">
        <f>Inputs_State!$B$1</f>
        <v/>
      </c>
      <c r="C295" t="inlineStr">
        <is>
          <t>Enforcement / R&amp;M Actions</t>
        </is>
      </c>
      <c r="D295" t="n">
        <v>425</v>
      </c>
      <c r="E295">
        <f>IFERROR(VLOOKUP(C295,Weights!$A$2:$B$11,2,FALSE),1.3)</f>
        <v/>
      </c>
      <c r="F295">
        <f>D295*E295</f>
        <v/>
      </c>
    </row>
    <row r="296">
      <c r="A296" t="inlineStr">
        <is>
          <t>Isanti</t>
        </is>
      </c>
      <c r="B296">
        <f>Inputs_State!$B$1</f>
        <v/>
      </c>
      <c r="C296" t="inlineStr">
        <is>
          <t>Customer Contacts - Telephone</t>
        </is>
      </c>
      <c r="D296" t="n">
        <v>2475</v>
      </c>
      <c r="E296">
        <f>IFERROR(VLOOKUP(C296,Weights!$A$2:$B$11,2,FALSE),0.2)</f>
        <v/>
      </c>
      <c r="F296">
        <f>D296*E296</f>
        <v/>
      </c>
    </row>
    <row r="297">
      <c r="A297" t="inlineStr">
        <is>
          <t>Isanti</t>
        </is>
      </c>
      <c r="B297">
        <f>Inputs_State!$B$1</f>
        <v/>
      </c>
      <c r="C297" t="inlineStr">
        <is>
          <t>Customer Contacts - Email/Portal</t>
        </is>
      </c>
      <c r="D297" t="n">
        <v>15386</v>
      </c>
      <c r="E297">
        <f>IFERROR(VLOOKUP(C297,Weights!$A$2:$B$11,2,FALSE),0.15)</f>
        <v/>
      </c>
      <c r="F297">
        <f>D297*E297</f>
        <v/>
      </c>
    </row>
    <row r="298">
      <c r="A298" t="inlineStr">
        <is>
          <t>Isanti</t>
        </is>
      </c>
      <c r="B298">
        <f>Inputs_State!$B$1</f>
        <v/>
      </c>
      <c r="C298" t="inlineStr">
        <is>
          <t>Interpreter/Language Services</t>
        </is>
      </c>
      <c r="D298" t="n">
        <v>1693</v>
      </c>
      <c r="E298">
        <f>IFERROR(VLOOKUP(C298,Weights!$A$2:$B$11,2,FALSE),0.6)</f>
        <v/>
      </c>
      <c r="F298">
        <f>D298*E298</f>
        <v/>
      </c>
    </row>
    <row r="299">
      <c r="A299" t="inlineStr">
        <is>
          <t>Isanti</t>
        </is>
      </c>
      <c r="B299">
        <f>Inputs_State!$B$1</f>
        <v/>
      </c>
      <c r="C299" t="inlineStr">
        <is>
          <t>Safety / High Risk Handling</t>
        </is>
      </c>
      <c r="D299" t="n">
        <v>249</v>
      </c>
      <c r="E299">
        <f>IFERROR(VLOOKUP(C299,Weights!$A$2:$B$11,2,FALSE),0.7)</f>
        <v/>
      </c>
      <c r="F299">
        <f>D299*E299</f>
        <v/>
      </c>
    </row>
    <row r="300">
      <c r="A300" t="inlineStr">
        <is>
          <t>Isanti</t>
        </is>
      </c>
      <c r="B300">
        <f>Inputs_State!$B$1</f>
        <v/>
      </c>
      <c r="C300" t="inlineStr">
        <is>
          <t>Incarceration Coordination</t>
        </is>
      </c>
      <c r="D300" t="n">
        <v>4694</v>
      </c>
      <c r="E300">
        <f>IFERROR(VLOOKUP(C300,Weights!$A$2:$B$11,2,FALSE),0.5)</f>
        <v/>
      </c>
      <c r="F300">
        <f>D300*E300</f>
        <v/>
      </c>
    </row>
    <row r="301">
      <c r="A301" t="inlineStr">
        <is>
          <t>Isanti</t>
        </is>
      </c>
      <c r="B301">
        <f>Inputs_State!$B$1</f>
        <v/>
      </c>
      <c r="C301" t="inlineStr">
        <is>
          <t>Unlocatable / Skip Work</t>
        </is>
      </c>
      <c r="D301" t="n">
        <v>292</v>
      </c>
      <c r="E301">
        <f>IFERROR(VLOOKUP(C301,Weights!$A$2:$B$11,2,FALSE),0.8)</f>
        <v/>
      </c>
      <c r="F301">
        <f>D301*E301</f>
        <v/>
      </c>
    </row>
    <row r="302">
      <c r="A302" t="inlineStr">
        <is>
          <t>Itasca</t>
        </is>
      </c>
      <c r="B302">
        <f>Inputs_State!$B$1</f>
        <v/>
      </c>
      <c r="C302" t="inlineStr">
        <is>
          <t>Standard Case Work</t>
        </is>
      </c>
      <c r="D302" t="n">
        <v>235</v>
      </c>
      <c r="E302">
        <f>IFERROR(VLOOKUP(C302,Weights!$A$2:$B$11,2,FALSE),1)</f>
        <v/>
      </c>
      <c r="F302">
        <f>D302*E302</f>
        <v/>
      </c>
    </row>
    <row r="303">
      <c r="A303" t="inlineStr">
        <is>
          <t>Itasca</t>
        </is>
      </c>
      <c r="B303">
        <f>Inputs_State!$B$1</f>
        <v/>
      </c>
      <c r="C303" t="inlineStr">
        <is>
          <t>Full Locate / Long Locate</t>
        </is>
      </c>
      <c r="D303" t="n">
        <v>445</v>
      </c>
      <c r="E303">
        <f>IFERROR(VLOOKUP(C303,Weights!$A$2:$B$11,2,FALSE),2)</f>
        <v/>
      </c>
      <c r="F303">
        <f>D303*E303</f>
        <v/>
      </c>
    </row>
    <row r="304">
      <c r="A304" t="inlineStr">
        <is>
          <t>Itasca</t>
        </is>
      </c>
      <c r="B304">
        <f>Inputs_State!$B$1</f>
        <v/>
      </c>
      <c r="C304" t="inlineStr">
        <is>
          <t>METS / Interstate Complexity</t>
        </is>
      </c>
      <c r="D304" t="n">
        <v>108</v>
      </c>
      <c r="E304">
        <f>IFERROR(VLOOKUP(C304,Weights!$A$2:$B$11,2,FALSE),1.5)</f>
        <v/>
      </c>
      <c r="F304">
        <f>D304*E304</f>
        <v/>
      </c>
    </row>
    <row r="305">
      <c r="A305" t="inlineStr">
        <is>
          <t>Itasca</t>
        </is>
      </c>
      <c r="B305">
        <f>Inputs_State!$B$1</f>
        <v/>
      </c>
      <c r="C305" t="inlineStr">
        <is>
          <t>Enforcement / R&amp;M Actions</t>
        </is>
      </c>
      <c r="D305" t="n">
        <v>397</v>
      </c>
      <c r="E305">
        <f>IFERROR(VLOOKUP(C305,Weights!$A$2:$B$11,2,FALSE),1.3)</f>
        <v/>
      </c>
      <c r="F305">
        <f>D305*E305</f>
        <v/>
      </c>
    </row>
    <row r="306">
      <c r="A306" t="inlineStr">
        <is>
          <t>Itasca</t>
        </is>
      </c>
      <c r="B306">
        <f>Inputs_State!$B$1</f>
        <v/>
      </c>
      <c r="C306" t="inlineStr">
        <is>
          <t>Customer Contacts - Telephone</t>
        </is>
      </c>
      <c r="D306" t="n">
        <v>2730</v>
      </c>
      <c r="E306">
        <f>IFERROR(VLOOKUP(C306,Weights!$A$2:$B$11,2,FALSE),0.2)</f>
        <v/>
      </c>
      <c r="F306">
        <f>D306*E306</f>
        <v/>
      </c>
    </row>
    <row r="307">
      <c r="A307" t="inlineStr">
        <is>
          <t>Itasca</t>
        </is>
      </c>
      <c r="B307">
        <f>Inputs_State!$B$1</f>
        <v/>
      </c>
      <c r="C307" t="inlineStr">
        <is>
          <t>Customer Contacts - Email/Portal</t>
        </is>
      </c>
      <c r="D307" t="n">
        <v>17453</v>
      </c>
      <c r="E307">
        <f>IFERROR(VLOOKUP(C307,Weights!$A$2:$B$11,2,FALSE),0.15)</f>
        <v/>
      </c>
      <c r="F307">
        <f>D307*E307</f>
        <v/>
      </c>
    </row>
    <row r="308">
      <c r="A308" t="inlineStr">
        <is>
          <t>Itasca</t>
        </is>
      </c>
      <c r="B308">
        <f>Inputs_State!$B$1</f>
        <v/>
      </c>
      <c r="C308" t="inlineStr">
        <is>
          <t>Interpreter/Language Services</t>
        </is>
      </c>
      <c r="D308" t="n">
        <v>1254</v>
      </c>
      <c r="E308">
        <f>IFERROR(VLOOKUP(C308,Weights!$A$2:$B$11,2,FALSE),0.6)</f>
        <v/>
      </c>
      <c r="F308">
        <f>D308*E308</f>
        <v/>
      </c>
    </row>
    <row r="309">
      <c r="A309" t="inlineStr">
        <is>
          <t>Itasca</t>
        </is>
      </c>
      <c r="B309">
        <f>Inputs_State!$B$1</f>
        <v/>
      </c>
      <c r="C309" t="inlineStr">
        <is>
          <t>Safety / High Risk Handling</t>
        </is>
      </c>
      <c r="D309" t="n">
        <v>216</v>
      </c>
      <c r="E309">
        <f>IFERROR(VLOOKUP(C309,Weights!$A$2:$B$11,2,FALSE),0.7)</f>
        <v/>
      </c>
      <c r="F309">
        <f>D309*E309</f>
        <v/>
      </c>
    </row>
    <row r="310">
      <c r="A310" t="inlineStr">
        <is>
          <t>Itasca</t>
        </is>
      </c>
      <c r="B310">
        <f>Inputs_State!$B$1</f>
        <v/>
      </c>
      <c r="C310" t="inlineStr">
        <is>
          <t>Incarceration Coordination</t>
        </is>
      </c>
      <c r="D310" t="n">
        <v>4913</v>
      </c>
      <c r="E310">
        <f>IFERROR(VLOOKUP(C310,Weights!$A$2:$B$11,2,FALSE),0.5)</f>
        <v/>
      </c>
      <c r="F310">
        <f>D310*E310</f>
        <v/>
      </c>
    </row>
    <row r="311">
      <c r="A311" t="inlineStr">
        <is>
          <t>Itasca</t>
        </is>
      </c>
      <c r="B311">
        <f>Inputs_State!$B$1</f>
        <v/>
      </c>
      <c r="C311" t="inlineStr">
        <is>
          <t>Unlocatable / Skip Work</t>
        </is>
      </c>
      <c r="D311" t="n">
        <v>304</v>
      </c>
      <c r="E311">
        <f>IFERROR(VLOOKUP(C311,Weights!$A$2:$B$11,2,FALSE),0.8)</f>
        <v/>
      </c>
      <c r="F311">
        <f>D311*E311</f>
        <v/>
      </c>
    </row>
    <row r="312">
      <c r="A312" t="inlineStr">
        <is>
          <t>Jackson</t>
        </is>
      </c>
      <c r="B312">
        <f>Inputs_State!$B$1</f>
        <v/>
      </c>
      <c r="C312" t="inlineStr">
        <is>
          <t>Standard Case Work</t>
        </is>
      </c>
      <c r="D312" t="n">
        <v>305</v>
      </c>
      <c r="E312">
        <f>IFERROR(VLOOKUP(C312,Weights!$A$2:$B$11,2,FALSE),1)</f>
        <v/>
      </c>
      <c r="F312">
        <f>D312*E312</f>
        <v/>
      </c>
    </row>
    <row r="313">
      <c r="A313" t="inlineStr">
        <is>
          <t>Jackson</t>
        </is>
      </c>
      <c r="B313">
        <f>Inputs_State!$B$1</f>
        <v/>
      </c>
      <c r="C313" t="inlineStr">
        <is>
          <t>Full Locate / Long Locate</t>
        </is>
      </c>
      <c r="D313" t="n">
        <v>486</v>
      </c>
      <c r="E313">
        <f>IFERROR(VLOOKUP(C313,Weights!$A$2:$B$11,2,FALSE),2)</f>
        <v/>
      </c>
      <c r="F313">
        <f>D313*E313</f>
        <v/>
      </c>
    </row>
    <row r="314">
      <c r="A314" t="inlineStr">
        <is>
          <t>Jackson</t>
        </is>
      </c>
      <c r="B314">
        <f>Inputs_State!$B$1</f>
        <v/>
      </c>
      <c r="C314" t="inlineStr">
        <is>
          <t>METS / Interstate Complexity</t>
        </is>
      </c>
      <c r="D314" t="n">
        <v>139</v>
      </c>
      <c r="E314">
        <f>IFERROR(VLOOKUP(C314,Weights!$A$2:$B$11,2,FALSE),1.5)</f>
        <v/>
      </c>
      <c r="F314">
        <f>D314*E314</f>
        <v/>
      </c>
    </row>
    <row r="315">
      <c r="A315" t="inlineStr">
        <is>
          <t>Jackson</t>
        </is>
      </c>
      <c r="B315">
        <f>Inputs_State!$B$1</f>
        <v/>
      </c>
      <c r="C315" t="inlineStr">
        <is>
          <t>Enforcement / R&amp;M Actions</t>
        </is>
      </c>
      <c r="D315" t="n">
        <v>418</v>
      </c>
      <c r="E315">
        <f>IFERROR(VLOOKUP(C315,Weights!$A$2:$B$11,2,FALSE),1.3)</f>
        <v/>
      </c>
      <c r="F315">
        <f>D315*E315</f>
        <v/>
      </c>
    </row>
    <row r="316">
      <c r="A316" t="inlineStr">
        <is>
          <t>Jackson</t>
        </is>
      </c>
      <c r="B316">
        <f>Inputs_State!$B$1</f>
        <v/>
      </c>
      <c r="C316" t="inlineStr">
        <is>
          <t>Customer Contacts - Telephone</t>
        </is>
      </c>
      <c r="D316" t="n">
        <v>2440</v>
      </c>
      <c r="E316">
        <f>IFERROR(VLOOKUP(C316,Weights!$A$2:$B$11,2,FALSE),0.2)</f>
        <v/>
      </c>
      <c r="F316">
        <f>D316*E316</f>
        <v/>
      </c>
    </row>
    <row r="317">
      <c r="A317" t="inlineStr">
        <is>
          <t>Jackson</t>
        </is>
      </c>
      <c r="B317">
        <f>Inputs_State!$B$1</f>
        <v/>
      </c>
      <c r="C317" t="inlineStr">
        <is>
          <t>Customer Contacts - Email/Portal</t>
        </is>
      </c>
      <c r="D317" t="n">
        <v>18048</v>
      </c>
      <c r="E317">
        <f>IFERROR(VLOOKUP(C317,Weights!$A$2:$B$11,2,FALSE),0.15)</f>
        <v/>
      </c>
      <c r="F317">
        <f>D317*E317</f>
        <v/>
      </c>
    </row>
    <row r="318">
      <c r="A318" t="inlineStr">
        <is>
          <t>Jackson</t>
        </is>
      </c>
      <c r="B318">
        <f>Inputs_State!$B$1</f>
        <v/>
      </c>
      <c r="C318" t="inlineStr">
        <is>
          <t>Interpreter/Language Services</t>
        </is>
      </c>
      <c r="D318" t="n">
        <v>1382</v>
      </c>
      <c r="E318">
        <f>IFERROR(VLOOKUP(C318,Weights!$A$2:$B$11,2,FALSE),0.6)</f>
        <v/>
      </c>
      <c r="F318">
        <f>D318*E318</f>
        <v/>
      </c>
    </row>
    <row r="319">
      <c r="A319" t="inlineStr">
        <is>
          <t>Jackson</t>
        </is>
      </c>
      <c r="B319">
        <f>Inputs_State!$B$1</f>
        <v/>
      </c>
      <c r="C319" t="inlineStr">
        <is>
          <t>Safety / High Risk Handling</t>
        </is>
      </c>
      <c r="D319" t="n">
        <v>230</v>
      </c>
      <c r="E319">
        <f>IFERROR(VLOOKUP(C319,Weights!$A$2:$B$11,2,FALSE),0.7)</f>
        <v/>
      </c>
      <c r="F319">
        <f>D319*E319</f>
        <v/>
      </c>
    </row>
    <row r="320">
      <c r="A320" t="inlineStr">
        <is>
          <t>Jackson</t>
        </is>
      </c>
      <c r="B320">
        <f>Inputs_State!$B$1</f>
        <v/>
      </c>
      <c r="C320" t="inlineStr">
        <is>
          <t>Incarceration Coordination</t>
        </is>
      </c>
      <c r="D320" t="n">
        <v>4989</v>
      </c>
      <c r="E320">
        <f>IFERROR(VLOOKUP(C320,Weights!$A$2:$B$11,2,FALSE),0.5)</f>
        <v/>
      </c>
      <c r="F320">
        <f>D320*E320</f>
        <v/>
      </c>
    </row>
    <row r="321">
      <c r="A321" t="inlineStr">
        <is>
          <t>Jackson</t>
        </is>
      </c>
      <c r="B321">
        <f>Inputs_State!$B$1</f>
        <v/>
      </c>
      <c r="C321" t="inlineStr">
        <is>
          <t>Unlocatable / Skip Work</t>
        </is>
      </c>
      <c r="D321" t="n">
        <v>305</v>
      </c>
      <c r="E321">
        <f>IFERROR(VLOOKUP(C321,Weights!$A$2:$B$11,2,FALSE),0.8)</f>
        <v/>
      </c>
      <c r="F321">
        <f>D321*E321</f>
        <v/>
      </c>
    </row>
    <row r="322">
      <c r="A322" t="inlineStr">
        <is>
          <t>Kanabec</t>
        </is>
      </c>
      <c r="B322">
        <f>Inputs_State!$B$1</f>
        <v/>
      </c>
      <c r="C322" t="inlineStr">
        <is>
          <t>Standard Case Work</t>
        </is>
      </c>
      <c r="D322" t="n">
        <v>132</v>
      </c>
      <c r="E322">
        <f>IFERROR(VLOOKUP(C322,Weights!$A$2:$B$11,2,FALSE),1)</f>
        <v/>
      </c>
      <c r="F322">
        <f>D322*E322</f>
        <v/>
      </c>
    </row>
    <row r="323">
      <c r="A323" t="inlineStr">
        <is>
          <t>Kanabec</t>
        </is>
      </c>
      <c r="B323">
        <f>Inputs_State!$B$1</f>
        <v/>
      </c>
      <c r="C323" t="inlineStr">
        <is>
          <t>Full Locate / Long Locate</t>
        </is>
      </c>
      <c r="D323" t="n">
        <v>234</v>
      </c>
      <c r="E323">
        <f>IFERROR(VLOOKUP(C323,Weights!$A$2:$B$11,2,FALSE),2)</f>
        <v/>
      </c>
      <c r="F323">
        <f>D323*E323</f>
        <v/>
      </c>
    </row>
    <row r="324">
      <c r="A324" t="inlineStr">
        <is>
          <t>Kanabec</t>
        </is>
      </c>
      <c r="B324">
        <f>Inputs_State!$B$1</f>
        <v/>
      </c>
      <c r="C324" t="inlineStr">
        <is>
          <t>METS / Interstate Complexity</t>
        </is>
      </c>
      <c r="D324" t="n">
        <v>58</v>
      </c>
      <c r="E324">
        <f>IFERROR(VLOOKUP(C324,Weights!$A$2:$B$11,2,FALSE),1.5)</f>
        <v/>
      </c>
      <c r="F324">
        <f>D324*E324</f>
        <v/>
      </c>
    </row>
    <row r="325">
      <c r="A325" t="inlineStr">
        <is>
          <t>Kanabec</t>
        </is>
      </c>
      <c r="B325">
        <f>Inputs_State!$B$1</f>
        <v/>
      </c>
      <c r="C325" t="inlineStr">
        <is>
          <t>Enforcement / R&amp;M Actions</t>
        </is>
      </c>
      <c r="D325" t="n">
        <v>232</v>
      </c>
      <c r="E325">
        <f>IFERROR(VLOOKUP(C325,Weights!$A$2:$B$11,2,FALSE),1.3)</f>
        <v/>
      </c>
      <c r="F325">
        <f>D325*E325</f>
        <v/>
      </c>
    </row>
    <row r="326">
      <c r="A326" t="inlineStr">
        <is>
          <t>Kanabec</t>
        </is>
      </c>
      <c r="B326">
        <f>Inputs_State!$B$1</f>
        <v/>
      </c>
      <c r="C326" t="inlineStr">
        <is>
          <t>Customer Contacts - Telephone</t>
        </is>
      </c>
      <c r="D326" t="n">
        <v>1477</v>
      </c>
      <c r="E326">
        <f>IFERROR(VLOOKUP(C326,Weights!$A$2:$B$11,2,FALSE),0.2)</f>
        <v/>
      </c>
      <c r="F326">
        <f>D326*E326</f>
        <v/>
      </c>
    </row>
    <row r="327">
      <c r="A327" t="inlineStr">
        <is>
          <t>Kanabec</t>
        </is>
      </c>
      <c r="B327">
        <f>Inputs_State!$B$1</f>
        <v/>
      </c>
      <c r="C327" t="inlineStr">
        <is>
          <t>Customer Contacts - Email/Portal</t>
        </is>
      </c>
      <c r="D327" t="n">
        <v>8076</v>
      </c>
      <c r="E327">
        <f>IFERROR(VLOOKUP(C327,Weights!$A$2:$B$11,2,FALSE),0.15)</f>
        <v/>
      </c>
      <c r="F327">
        <f>D327*E327</f>
        <v/>
      </c>
    </row>
    <row r="328">
      <c r="A328" t="inlineStr">
        <is>
          <t>Kanabec</t>
        </is>
      </c>
      <c r="B328">
        <f>Inputs_State!$B$1</f>
        <v/>
      </c>
      <c r="C328" t="inlineStr">
        <is>
          <t>Interpreter/Language Services</t>
        </is>
      </c>
      <c r="D328" t="n">
        <v>780</v>
      </c>
      <c r="E328">
        <f>IFERROR(VLOOKUP(C328,Weights!$A$2:$B$11,2,FALSE),0.6)</f>
        <v/>
      </c>
      <c r="F328">
        <f>D328*E328</f>
        <v/>
      </c>
    </row>
    <row r="329">
      <c r="A329" t="inlineStr">
        <is>
          <t>Kanabec</t>
        </is>
      </c>
      <c r="B329">
        <f>Inputs_State!$B$1</f>
        <v/>
      </c>
      <c r="C329" t="inlineStr">
        <is>
          <t>Safety / High Risk Handling</t>
        </is>
      </c>
      <c r="D329" t="n">
        <v>116</v>
      </c>
      <c r="E329">
        <f>IFERROR(VLOOKUP(C329,Weights!$A$2:$B$11,2,FALSE),0.7)</f>
        <v/>
      </c>
      <c r="F329">
        <f>D329*E329</f>
        <v/>
      </c>
    </row>
    <row r="330">
      <c r="A330" t="inlineStr">
        <is>
          <t>Kanabec</t>
        </is>
      </c>
      <c r="B330">
        <f>Inputs_State!$B$1</f>
        <v/>
      </c>
      <c r="C330" t="inlineStr">
        <is>
          <t>Incarceration Coordination</t>
        </is>
      </c>
      <c r="D330" t="n">
        <v>2640</v>
      </c>
      <c r="E330">
        <f>IFERROR(VLOOKUP(C330,Weights!$A$2:$B$11,2,FALSE),0.5)</f>
        <v/>
      </c>
      <c r="F330">
        <f>D330*E330</f>
        <v/>
      </c>
    </row>
    <row r="331">
      <c r="A331" t="inlineStr">
        <is>
          <t>Kanabec</t>
        </is>
      </c>
      <c r="B331">
        <f>Inputs_State!$B$1</f>
        <v/>
      </c>
      <c r="C331" t="inlineStr">
        <is>
          <t>Unlocatable / Skip Work</t>
        </is>
      </c>
      <c r="D331" t="n">
        <v>181</v>
      </c>
      <c r="E331">
        <f>IFERROR(VLOOKUP(C331,Weights!$A$2:$B$11,2,FALSE),0.8)</f>
        <v/>
      </c>
      <c r="F331">
        <f>D331*E331</f>
        <v/>
      </c>
    </row>
    <row r="332">
      <c r="A332" t="inlineStr">
        <is>
          <t>Kandiyohi</t>
        </is>
      </c>
      <c r="B332">
        <f>Inputs_State!$B$1</f>
        <v/>
      </c>
      <c r="C332" t="inlineStr">
        <is>
          <t>Standard Case Work</t>
        </is>
      </c>
      <c r="D332" t="n">
        <v>323</v>
      </c>
      <c r="E332">
        <f>IFERROR(VLOOKUP(C332,Weights!$A$2:$B$11,2,FALSE),1)</f>
        <v/>
      </c>
      <c r="F332">
        <f>D332*E332</f>
        <v/>
      </c>
    </row>
    <row r="333">
      <c r="A333" t="inlineStr">
        <is>
          <t>Kandiyohi</t>
        </is>
      </c>
      <c r="B333">
        <f>Inputs_State!$B$1</f>
        <v/>
      </c>
      <c r="C333" t="inlineStr">
        <is>
          <t>Full Locate / Long Locate</t>
        </is>
      </c>
      <c r="D333" t="n">
        <v>587</v>
      </c>
      <c r="E333">
        <f>IFERROR(VLOOKUP(C333,Weights!$A$2:$B$11,2,FALSE),2)</f>
        <v/>
      </c>
      <c r="F333">
        <f>D333*E333</f>
        <v/>
      </c>
    </row>
    <row r="334">
      <c r="A334" t="inlineStr">
        <is>
          <t>Kandiyohi</t>
        </is>
      </c>
      <c r="B334">
        <f>Inputs_State!$B$1</f>
        <v/>
      </c>
      <c r="C334" t="inlineStr">
        <is>
          <t>METS / Interstate Complexity</t>
        </is>
      </c>
      <c r="D334" t="n">
        <v>140</v>
      </c>
      <c r="E334">
        <f>IFERROR(VLOOKUP(C334,Weights!$A$2:$B$11,2,FALSE),1.5)</f>
        <v/>
      </c>
      <c r="F334">
        <f>D334*E334</f>
        <v/>
      </c>
    </row>
    <row r="335">
      <c r="A335" t="inlineStr">
        <is>
          <t>Kandiyohi</t>
        </is>
      </c>
      <c r="B335">
        <f>Inputs_State!$B$1</f>
        <v/>
      </c>
      <c r="C335" t="inlineStr">
        <is>
          <t>Enforcement / R&amp;M Actions</t>
        </is>
      </c>
      <c r="D335" t="n">
        <v>506</v>
      </c>
      <c r="E335">
        <f>IFERROR(VLOOKUP(C335,Weights!$A$2:$B$11,2,FALSE),1.3)</f>
        <v/>
      </c>
      <c r="F335">
        <f>D335*E335</f>
        <v/>
      </c>
    </row>
    <row r="336">
      <c r="A336" t="inlineStr">
        <is>
          <t>Kandiyohi</t>
        </is>
      </c>
      <c r="B336">
        <f>Inputs_State!$B$1</f>
        <v/>
      </c>
      <c r="C336" t="inlineStr">
        <is>
          <t>Customer Contacts - Telephone</t>
        </is>
      </c>
      <c r="D336" t="n">
        <v>3426</v>
      </c>
      <c r="E336">
        <f>IFERROR(VLOOKUP(C336,Weights!$A$2:$B$11,2,FALSE),0.2)</f>
        <v/>
      </c>
      <c r="F336">
        <f>D336*E336</f>
        <v/>
      </c>
    </row>
    <row r="337">
      <c r="A337" t="inlineStr">
        <is>
          <t>Kandiyohi</t>
        </is>
      </c>
      <c r="B337">
        <f>Inputs_State!$B$1</f>
        <v/>
      </c>
      <c r="C337" t="inlineStr">
        <is>
          <t>Customer Contacts - Email/Portal</t>
        </is>
      </c>
      <c r="D337" t="n">
        <v>22116</v>
      </c>
      <c r="E337">
        <f>IFERROR(VLOOKUP(C337,Weights!$A$2:$B$11,2,FALSE),0.15)</f>
        <v/>
      </c>
      <c r="F337">
        <f>D337*E337</f>
        <v/>
      </c>
    </row>
    <row r="338">
      <c r="A338" t="inlineStr">
        <is>
          <t>Kandiyohi</t>
        </is>
      </c>
      <c r="B338">
        <f>Inputs_State!$B$1</f>
        <v/>
      </c>
      <c r="C338" t="inlineStr">
        <is>
          <t>Interpreter/Language Services</t>
        </is>
      </c>
      <c r="D338" t="n">
        <v>1638</v>
      </c>
      <c r="E338">
        <f>IFERROR(VLOOKUP(C338,Weights!$A$2:$B$11,2,FALSE),0.6)</f>
        <v/>
      </c>
      <c r="F338">
        <f>D338*E338</f>
        <v/>
      </c>
    </row>
    <row r="339">
      <c r="A339" t="inlineStr">
        <is>
          <t>Kandiyohi</t>
        </is>
      </c>
      <c r="B339">
        <f>Inputs_State!$B$1</f>
        <v/>
      </c>
      <c r="C339" t="inlineStr">
        <is>
          <t>Safety / High Risk Handling</t>
        </is>
      </c>
      <c r="D339" t="n">
        <v>269</v>
      </c>
      <c r="E339">
        <f>IFERROR(VLOOKUP(C339,Weights!$A$2:$B$11,2,FALSE),0.7)</f>
        <v/>
      </c>
      <c r="F339">
        <f>D339*E339</f>
        <v/>
      </c>
    </row>
    <row r="340">
      <c r="A340" t="inlineStr">
        <is>
          <t>Kandiyohi</t>
        </is>
      </c>
      <c r="B340">
        <f>Inputs_State!$B$1</f>
        <v/>
      </c>
      <c r="C340" t="inlineStr">
        <is>
          <t>Incarceration Coordination</t>
        </is>
      </c>
      <c r="D340" t="n">
        <v>5934</v>
      </c>
      <c r="E340">
        <f>IFERROR(VLOOKUP(C340,Weights!$A$2:$B$11,2,FALSE),0.5)</f>
        <v/>
      </c>
      <c r="F340">
        <f>D340*E340</f>
        <v/>
      </c>
    </row>
    <row r="341">
      <c r="A341" t="inlineStr">
        <is>
          <t>Kandiyohi</t>
        </is>
      </c>
      <c r="B341">
        <f>Inputs_State!$B$1</f>
        <v/>
      </c>
      <c r="C341" t="inlineStr">
        <is>
          <t>Unlocatable / Skip Work</t>
        </is>
      </c>
      <c r="D341" t="n">
        <v>354</v>
      </c>
      <c r="E341">
        <f>IFERROR(VLOOKUP(C341,Weights!$A$2:$B$11,2,FALSE),0.8)</f>
        <v/>
      </c>
      <c r="F341">
        <f>D341*E341</f>
        <v/>
      </c>
    </row>
    <row r="342">
      <c r="A342" t="inlineStr">
        <is>
          <t>Kittson</t>
        </is>
      </c>
      <c r="B342">
        <f>Inputs_State!$B$1</f>
        <v/>
      </c>
      <c r="C342" t="inlineStr">
        <is>
          <t>Standard Case Work</t>
        </is>
      </c>
      <c r="D342" t="n">
        <v>210</v>
      </c>
      <c r="E342">
        <f>IFERROR(VLOOKUP(C342,Weights!$A$2:$B$11,2,FALSE),1)</f>
        <v/>
      </c>
      <c r="F342">
        <f>D342*E342</f>
        <v/>
      </c>
    </row>
    <row r="343">
      <c r="A343" t="inlineStr">
        <is>
          <t>Kittson</t>
        </is>
      </c>
      <c r="B343">
        <f>Inputs_State!$B$1</f>
        <v/>
      </c>
      <c r="C343" t="inlineStr">
        <is>
          <t>Full Locate / Long Locate</t>
        </is>
      </c>
      <c r="D343" t="n">
        <v>344</v>
      </c>
      <c r="E343">
        <f>IFERROR(VLOOKUP(C343,Weights!$A$2:$B$11,2,FALSE),2)</f>
        <v/>
      </c>
      <c r="F343">
        <f>D343*E343</f>
        <v/>
      </c>
    </row>
    <row r="344">
      <c r="A344" t="inlineStr">
        <is>
          <t>Kittson</t>
        </is>
      </c>
      <c r="B344">
        <f>Inputs_State!$B$1</f>
        <v/>
      </c>
      <c r="C344" t="inlineStr">
        <is>
          <t>METS / Interstate Complexity</t>
        </is>
      </c>
      <c r="D344" t="n">
        <v>94</v>
      </c>
      <c r="E344">
        <f>IFERROR(VLOOKUP(C344,Weights!$A$2:$B$11,2,FALSE),1.5)</f>
        <v/>
      </c>
      <c r="F344">
        <f>D344*E344</f>
        <v/>
      </c>
    </row>
    <row r="345">
      <c r="A345" t="inlineStr">
        <is>
          <t>Kittson</t>
        </is>
      </c>
      <c r="B345">
        <f>Inputs_State!$B$1</f>
        <v/>
      </c>
      <c r="C345" t="inlineStr">
        <is>
          <t>Enforcement / R&amp;M Actions</t>
        </is>
      </c>
      <c r="D345" t="n">
        <v>283</v>
      </c>
      <c r="E345">
        <f>IFERROR(VLOOKUP(C345,Weights!$A$2:$B$11,2,FALSE),1.3)</f>
        <v/>
      </c>
      <c r="F345">
        <f>D345*E345</f>
        <v/>
      </c>
    </row>
    <row r="346">
      <c r="A346" t="inlineStr">
        <is>
          <t>Kittson</t>
        </is>
      </c>
      <c r="B346">
        <f>Inputs_State!$B$1</f>
        <v/>
      </c>
      <c r="C346" t="inlineStr">
        <is>
          <t>Customer Contacts - Telephone</t>
        </is>
      </c>
      <c r="D346" t="n">
        <v>2111</v>
      </c>
      <c r="E346">
        <f>IFERROR(VLOOKUP(C346,Weights!$A$2:$B$11,2,FALSE),0.2)</f>
        <v/>
      </c>
      <c r="F346">
        <f>D346*E346</f>
        <v/>
      </c>
    </row>
    <row r="347">
      <c r="A347" t="inlineStr">
        <is>
          <t>Kittson</t>
        </is>
      </c>
      <c r="B347">
        <f>Inputs_State!$B$1</f>
        <v/>
      </c>
      <c r="C347" t="inlineStr">
        <is>
          <t>Customer Contacts - Email/Portal</t>
        </is>
      </c>
      <c r="D347" t="n">
        <v>11255</v>
      </c>
      <c r="E347">
        <f>IFERROR(VLOOKUP(C347,Weights!$A$2:$B$11,2,FALSE),0.15)</f>
        <v/>
      </c>
      <c r="F347">
        <f>D347*E347</f>
        <v/>
      </c>
    </row>
    <row r="348">
      <c r="A348" t="inlineStr">
        <is>
          <t>Kittson</t>
        </is>
      </c>
      <c r="B348">
        <f>Inputs_State!$B$1</f>
        <v/>
      </c>
      <c r="C348" t="inlineStr">
        <is>
          <t>Interpreter/Language Services</t>
        </is>
      </c>
      <c r="D348" t="n">
        <v>1161</v>
      </c>
      <c r="E348">
        <f>IFERROR(VLOOKUP(C348,Weights!$A$2:$B$11,2,FALSE),0.6)</f>
        <v/>
      </c>
      <c r="F348">
        <f>D348*E348</f>
        <v/>
      </c>
    </row>
    <row r="349">
      <c r="A349" t="inlineStr">
        <is>
          <t>Kittson</t>
        </is>
      </c>
      <c r="B349">
        <f>Inputs_State!$B$1</f>
        <v/>
      </c>
      <c r="C349" t="inlineStr">
        <is>
          <t>Safety / High Risk Handling</t>
        </is>
      </c>
      <c r="D349" t="n">
        <v>208</v>
      </c>
      <c r="E349">
        <f>IFERROR(VLOOKUP(C349,Weights!$A$2:$B$11,2,FALSE),0.7)</f>
        <v/>
      </c>
      <c r="F349">
        <f>D349*E349</f>
        <v/>
      </c>
    </row>
    <row r="350">
      <c r="A350" t="inlineStr">
        <is>
          <t>Kittson</t>
        </is>
      </c>
      <c r="B350">
        <f>Inputs_State!$B$1</f>
        <v/>
      </c>
      <c r="C350" t="inlineStr">
        <is>
          <t>Incarceration Coordination</t>
        </is>
      </c>
      <c r="D350" t="n">
        <v>3651</v>
      </c>
      <c r="E350">
        <f>IFERROR(VLOOKUP(C350,Weights!$A$2:$B$11,2,FALSE),0.5)</f>
        <v/>
      </c>
      <c r="F350">
        <f>D350*E350</f>
        <v/>
      </c>
    </row>
    <row r="351">
      <c r="A351" t="inlineStr">
        <is>
          <t>Kittson</t>
        </is>
      </c>
      <c r="B351">
        <f>Inputs_State!$B$1</f>
        <v/>
      </c>
      <c r="C351" t="inlineStr">
        <is>
          <t>Unlocatable / Skip Work</t>
        </is>
      </c>
      <c r="D351" t="n">
        <v>247</v>
      </c>
      <c r="E351">
        <f>IFERROR(VLOOKUP(C351,Weights!$A$2:$B$11,2,FALSE),0.8)</f>
        <v/>
      </c>
      <c r="F351">
        <f>D351*E351</f>
        <v/>
      </c>
    </row>
    <row r="352">
      <c r="A352" t="inlineStr">
        <is>
          <t>Koochiching</t>
        </is>
      </c>
      <c r="B352">
        <f>Inputs_State!$B$1</f>
        <v/>
      </c>
      <c r="C352" t="inlineStr">
        <is>
          <t>Standard Case Work</t>
        </is>
      </c>
      <c r="D352" t="n">
        <v>135</v>
      </c>
      <c r="E352">
        <f>IFERROR(VLOOKUP(C352,Weights!$A$2:$B$11,2,FALSE),1)</f>
        <v/>
      </c>
      <c r="F352">
        <f>D352*E352</f>
        <v/>
      </c>
    </row>
    <row r="353">
      <c r="A353" t="inlineStr">
        <is>
          <t>Koochiching</t>
        </is>
      </c>
      <c r="B353">
        <f>Inputs_State!$B$1</f>
        <v/>
      </c>
      <c r="C353" t="inlineStr">
        <is>
          <t>Full Locate / Long Locate</t>
        </is>
      </c>
      <c r="D353" t="n">
        <v>260</v>
      </c>
      <c r="E353">
        <f>IFERROR(VLOOKUP(C353,Weights!$A$2:$B$11,2,FALSE),2)</f>
        <v/>
      </c>
      <c r="F353">
        <f>D353*E353</f>
        <v/>
      </c>
    </row>
    <row r="354">
      <c r="A354" t="inlineStr">
        <is>
          <t>Koochiching</t>
        </is>
      </c>
      <c r="B354">
        <f>Inputs_State!$B$1</f>
        <v/>
      </c>
      <c r="C354" t="inlineStr">
        <is>
          <t>METS / Interstate Complexity</t>
        </is>
      </c>
      <c r="D354" t="n">
        <v>67</v>
      </c>
      <c r="E354">
        <f>IFERROR(VLOOKUP(C354,Weights!$A$2:$B$11,2,FALSE),1.5)</f>
        <v/>
      </c>
      <c r="F354">
        <f>D354*E354</f>
        <v/>
      </c>
    </row>
    <row r="355">
      <c r="A355" t="inlineStr">
        <is>
          <t>Koochiching</t>
        </is>
      </c>
      <c r="B355">
        <f>Inputs_State!$B$1</f>
        <v/>
      </c>
      <c r="C355" t="inlineStr">
        <is>
          <t>Enforcement / R&amp;M Actions</t>
        </is>
      </c>
      <c r="D355" t="n">
        <v>246</v>
      </c>
      <c r="E355">
        <f>IFERROR(VLOOKUP(C355,Weights!$A$2:$B$11,2,FALSE),1.3)</f>
        <v/>
      </c>
      <c r="F355">
        <f>D355*E355</f>
        <v/>
      </c>
    </row>
    <row r="356">
      <c r="A356" t="inlineStr">
        <is>
          <t>Koochiching</t>
        </is>
      </c>
      <c r="B356">
        <f>Inputs_State!$B$1</f>
        <v/>
      </c>
      <c r="C356" t="inlineStr">
        <is>
          <t>Customer Contacts - Telephone</t>
        </is>
      </c>
      <c r="D356" t="n">
        <v>1218</v>
      </c>
      <c r="E356">
        <f>IFERROR(VLOOKUP(C356,Weights!$A$2:$B$11,2,FALSE),0.2)</f>
        <v/>
      </c>
      <c r="F356">
        <f>D356*E356</f>
        <v/>
      </c>
    </row>
    <row r="357">
      <c r="A357" t="inlineStr">
        <is>
          <t>Koochiching</t>
        </is>
      </c>
      <c r="B357">
        <f>Inputs_State!$B$1</f>
        <v/>
      </c>
      <c r="C357" t="inlineStr">
        <is>
          <t>Customer Contacts - Email/Portal</t>
        </is>
      </c>
      <c r="D357" t="n">
        <v>9868</v>
      </c>
      <c r="E357">
        <f>IFERROR(VLOOKUP(C357,Weights!$A$2:$B$11,2,FALSE),0.15)</f>
        <v/>
      </c>
      <c r="F357">
        <f>D357*E357</f>
        <v/>
      </c>
    </row>
    <row r="358">
      <c r="A358" t="inlineStr">
        <is>
          <t>Koochiching</t>
        </is>
      </c>
      <c r="B358">
        <f>Inputs_State!$B$1</f>
        <v/>
      </c>
      <c r="C358" t="inlineStr">
        <is>
          <t>Interpreter/Language Services</t>
        </is>
      </c>
      <c r="D358" t="n">
        <v>713</v>
      </c>
      <c r="E358">
        <f>IFERROR(VLOOKUP(C358,Weights!$A$2:$B$11,2,FALSE),0.6)</f>
        <v/>
      </c>
      <c r="F358">
        <f>D358*E358</f>
        <v/>
      </c>
    </row>
    <row r="359">
      <c r="A359" t="inlineStr">
        <is>
          <t>Koochiching</t>
        </is>
      </c>
      <c r="B359">
        <f>Inputs_State!$B$1</f>
        <v/>
      </c>
      <c r="C359" t="inlineStr">
        <is>
          <t>Safety / High Risk Handling</t>
        </is>
      </c>
      <c r="D359" t="n">
        <v>127</v>
      </c>
      <c r="E359">
        <f>IFERROR(VLOOKUP(C359,Weights!$A$2:$B$11,2,FALSE),0.7)</f>
        <v/>
      </c>
      <c r="F359">
        <f>D359*E359</f>
        <v/>
      </c>
    </row>
    <row r="360">
      <c r="A360" t="inlineStr">
        <is>
          <t>Koochiching</t>
        </is>
      </c>
      <c r="B360">
        <f>Inputs_State!$B$1</f>
        <v/>
      </c>
      <c r="C360" t="inlineStr">
        <is>
          <t>Incarceration Coordination</t>
        </is>
      </c>
      <c r="D360" t="n">
        <v>2465</v>
      </c>
      <c r="E360">
        <f>IFERROR(VLOOKUP(C360,Weights!$A$2:$B$11,2,FALSE),0.5)</f>
        <v/>
      </c>
      <c r="F360">
        <f>D360*E360</f>
        <v/>
      </c>
    </row>
    <row r="361">
      <c r="A361" t="inlineStr">
        <is>
          <t>Koochiching</t>
        </is>
      </c>
      <c r="B361">
        <f>Inputs_State!$B$1</f>
        <v/>
      </c>
      <c r="C361" t="inlineStr">
        <is>
          <t>Unlocatable / Skip Work</t>
        </is>
      </c>
      <c r="D361" t="n">
        <v>151</v>
      </c>
      <c r="E361">
        <f>IFERROR(VLOOKUP(C361,Weights!$A$2:$B$11,2,FALSE),0.8)</f>
        <v/>
      </c>
      <c r="F361">
        <f>D361*E361</f>
        <v/>
      </c>
    </row>
    <row r="362">
      <c r="A362" t="inlineStr">
        <is>
          <t>Lac qui Parle</t>
        </is>
      </c>
      <c r="B362">
        <f>Inputs_State!$B$1</f>
        <v/>
      </c>
      <c r="C362" t="inlineStr">
        <is>
          <t>Standard Case Work</t>
        </is>
      </c>
      <c r="D362" t="n">
        <v>203</v>
      </c>
      <c r="E362">
        <f>IFERROR(VLOOKUP(C362,Weights!$A$2:$B$11,2,FALSE),1)</f>
        <v/>
      </c>
      <c r="F362">
        <f>D362*E362</f>
        <v/>
      </c>
    </row>
    <row r="363">
      <c r="A363" t="inlineStr">
        <is>
          <t>Lac qui Parle</t>
        </is>
      </c>
      <c r="B363">
        <f>Inputs_State!$B$1</f>
        <v/>
      </c>
      <c r="C363" t="inlineStr">
        <is>
          <t>Full Locate / Long Locate</t>
        </is>
      </c>
      <c r="D363" t="n">
        <v>309</v>
      </c>
      <c r="E363">
        <f>IFERROR(VLOOKUP(C363,Weights!$A$2:$B$11,2,FALSE),2)</f>
        <v/>
      </c>
      <c r="F363">
        <f>D363*E363</f>
        <v/>
      </c>
    </row>
    <row r="364">
      <c r="A364" t="inlineStr">
        <is>
          <t>Lac qui Parle</t>
        </is>
      </c>
      <c r="B364">
        <f>Inputs_State!$B$1</f>
        <v/>
      </c>
      <c r="C364" t="inlineStr">
        <is>
          <t>METS / Interstate Complexity</t>
        </is>
      </c>
      <c r="D364" t="n">
        <v>99</v>
      </c>
      <c r="E364">
        <f>IFERROR(VLOOKUP(C364,Weights!$A$2:$B$11,2,FALSE),1.5)</f>
        <v/>
      </c>
      <c r="F364">
        <f>D364*E364</f>
        <v/>
      </c>
    </row>
    <row r="365">
      <c r="A365" t="inlineStr">
        <is>
          <t>Lac qui Parle</t>
        </is>
      </c>
      <c r="B365">
        <f>Inputs_State!$B$1</f>
        <v/>
      </c>
      <c r="C365" t="inlineStr">
        <is>
          <t>Enforcement / R&amp;M Actions</t>
        </is>
      </c>
      <c r="D365" t="n">
        <v>310</v>
      </c>
      <c r="E365">
        <f>IFERROR(VLOOKUP(C365,Weights!$A$2:$B$11,2,FALSE),1.3)</f>
        <v/>
      </c>
      <c r="F365">
        <f>D365*E365</f>
        <v/>
      </c>
    </row>
    <row r="366">
      <c r="A366" t="inlineStr">
        <is>
          <t>Lac qui Parle</t>
        </is>
      </c>
      <c r="B366">
        <f>Inputs_State!$B$1</f>
        <v/>
      </c>
      <c r="C366" t="inlineStr">
        <is>
          <t>Customer Contacts - Telephone</t>
        </is>
      </c>
      <c r="D366" t="n">
        <v>2119</v>
      </c>
      <c r="E366">
        <f>IFERROR(VLOOKUP(C366,Weights!$A$2:$B$11,2,FALSE),0.2)</f>
        <v/>
      </c>
      <c r="F366">
        <f>D366*E366</f>
        <v/>
      </c>
    </row>
    <row r="367">
      <c r="A367" t="inlineStr">
        <is>
          <t>Lac qui Parle</t>
        </is>
      </c>
      <c r="B367">
        <f>Inputs_State!$B$1</f>
        <v/>
      </c>
      <c r="C367" t="inlineStr">
        <is>
          <t>Customer Contacts - Email/Portal</t>
        </is>
      </c>
      <c r="D367" t="n">
        <v>15388</v>
      </c>
      <c r="E367">
        <f>IFERROR(VLOOKUP(C367,Weights!$A$2:$B$11,2,FALSE),0.15)</f>
        <v/>
      </c>
      <c r="F367">
        <f>D367*E367</f>
        <v/>
      </c>
    </row>
    <row r="368">
      <c r="A368" t="inlineStr">
        <is>
          <t>Lac qui Parle</t>
        </is>
      </c>
      <c r="B368">
        <f>Inputs_State!$B$1</f>
        <v/>
      </c>
      <c r="C368" t="inlineStr">
        <is>
          <t>Interpreter/Language Services</t>
        </is>
      </c>
      <c r="D368" t="n">
        <v>992</v>
      </c>
      <c r="E368">
        <f>IFERROR(VLOOKUP(C368,Weights!$A$2:$B$11,2,FALSE),0.6)</f>
        <v/>
      </c>
      <c r="F368">
        <f>D368*E368</f>
        <v/>
      </c>
    </row>
    <row r="369">
      <c r="A369" t="inlineStr">
        <is>
          <t>Lac qui Parle</t>
        </is>
      </c>
      <c r="B369">
        <f>Inputs_State!$B$1</f>
        <v/>
      </c>
      <c r="C369" t="inlineStr">
        <is>
          <t>Safety / High Risk Handling</t>
        </is>
      </c>
      <c r="D369" t="n">
        <v>181</v>
      </c>
      <c r="E369">
        <f>IFERROR(VLOOKUP(C369,Weights!$A$2:$B$11,2,FALSE),0.7)</f>
        <v/>
      </c>
      <c r="F369">
        <f>D369*E369</f>
        <v/>
      </c>
    </row>
    <row r="370">
      <c r="A370" t="inlineStr">
        <is>
          <t>Lac qui Parle</t>
        </is>
      </c>
      <c r="B370">
        <f>Inputs_State!$B$1</f>
        <v/>
      </c>
      <c r="C370" t="inlineStr">
        <is>
          <t>Incarceration Coordination</t>
        </is>
      </c>
      <c r="D370" t="n">
        <v>4033</v>
      </c>
      <c r="E370">
        <f>IFERROR(VLOOKUP(C370,Weights!$A$2:$B$11,2,FALSE),0.5)</f>
        <v/>
      </c>
      <c r="F370">
        <f>D370*E370</f>
        <v/>
      </c>
    </row>
    <row r="371">
      <c r="A371" t="inlineStr">
        <is>
          <t>Lac qui Parle</t>
        </is>
      </c>
      <c r="B371">
        <f>Inputs_State!$B$1</f>
        <v/>
      </c>
      <c r="C371" t="inlineStr">
        <is>
          <t>Unlocatable / Skip Work</t>
        </is>
      </c>
      <c r="D371" t="n">
        <v>247</v>
      </c>
      <c r="E371">
        <f>IFERROR(VLOOKUP(C371,Weights!$A$2:$B$11,2,FALSE),0.8)</f>
        <v/>
      </c>
      <c r="F371">
        <f>D371*E371</f>
        <v/>
      </c>
    </row>
    <row r="372">
      <c r="A372" t="inlineStr">
        <is>
          <t>Lake</t>
        </is>
      </c>
      <c r="B372">
        <f>Inputs_State!$B$1</f>
        <v/>
      </c>
      <c r="C372" t="inlineStr">
        <is>
          <t>Standard Case Work</t>
        </is>
      </c>
      <c r="D372" t="n">
        <v>216</v>
      </c>
      <c r="E372">
        <f>IFERROR(VLOOKUP(C372,Weights!$A$2:$B$11,2,FALSE),1)</f>
        <v/>
      </c>
      <c r="F372">
        <f>D372*E372</f>
        <v/>
      </c>
    </row>
    <row r="373">
      <c r="A373" t="inlineStr">
        <is>
          <t>Lake</t>
        </is>
      </c>
      <c r="B373">
        <f>Inputs_State!$B$1</f>
        <v/>
      </c>
      <c r="C373" t="inlineStr">
        <is>
          <t>Full Locate / Long Locate</t>
        </is>
      </c>
      <c r="D373" t="n">
        <v>350</v>
      </c>
      <c r="E373">
        <f>IFERROR(VLOOKUP(C373,Weights!$A$2:$B$11,2,FALSE),2)</f>
        <v/>
      </c>
      <c r="F373">
        <f>D373*E373</f>
        <v/>
      </c>
    </row>
    <row r="374">
      <c r="A374" t="inlineStr">
        <is>
          <t>Lake</t>
        </is>
      </c>
      <c r="B374">
        <f>Inputs_State!$B$1</f>
        <v/>
      </c>
      <c r="C374" t="inlineStr">
        <is>
          <t>METS / Interstate Complexity</t>
        </is>
      </c>
      <c r="D374" t="n">
        <v>82</v>
      </c>
      <c r="E374">
        <f>IFERROR(VLOOKUP(C374,Weights!$A$2:$B$11,2,FALSE),1.5)</f>
        <v/>
      </c>
      <c r="F374">
        <f>D374*E374</f>
        <v/>
      </c>
    </row>
    <row r="375">
      <c r="A375" t="inlineStr">
        <is>
          <t>Lake</t>
        </is>
      </c>
      <c r="B375">
        <f>Inputs_State!$B$1</f>
        <v/>
      </c>
      <c r="C375" t="inlineStr">
        <is>
          <t>Enforcement / R&amp;M Actions</t>
        </is>
      </c>
      <c r="D375" t="n">
        <v>343</v>
      </c>
      <c r="E375">
        <f>IFERROR(VLOOKUP(C375,Weights!$A$2:$B$11,2,FALSE),1.3)</f>
        <v/>
      </c>
      <c r="F375">
        <f>D375*E375</f>
        <v/>
      </c>
    </row>
    <row r="376">
      <c r="A376" t="inlineStr">
        <is>
          <t>Lake</t>
        </is>
      </c>
      <c r="B376">
        <f>Inputs_State!$B$1</f>
        <v/>
      </c>
      <c r="C376" t="inlineStr">
        <is>
          <t>Customer Contacts - Telephone</t>
        </is>
      </c>
      <c r="D376" t="n">
        <v>2194</v>
      </c>
      <c r="E376">
        <f>IFERROR(VLOOKUP(C376,Weights!$A$2:$B$11,2,FALSE),0.2)</f>
        <v/>
      </c>
      <c r="F376">
        <f>D376*E376</f>
        <v/>
      </c>
    </row>
    <row r="377">
      <c r="A377" t="inlineStr">
        <is>
          <t>Lake</t>
        </is>
      </c>
      <c r="B377">
        <f>Inputs_State!$B$1</f>
        <v/>
      </c>
      <c r="C377" t="inlineStr">
        <is>
          <t>Customer Contacts - Email/Portal</t>
        </is>
      </c>
      <c r="D377" t="n">
        <v>13180</v>
      </c>
      <c r="E377">
        <f>IFERROR(VLOOKUP(C377,Weights!$A$2:$B$11,2,FALSE),0.15)</f>
        <v/>
      </c>
      <c r="F377">
        <f>D377*E377</f>
        <v/>
      </c>
    </row>
    <row r="378">
      <c r="A378" t="inlineStr">
        <is>
          <t>Lake</t>
        </is>
      </c>
      <c r="B378">
        <f>Inputs_State!$B$1</f>
        <v/>
      </c>
      <c r="C378" t="inlineStr">
        <is>
          <t>Interpreter/Language Services</t>
        </is>
      </c>
      <c r="D378" t="n">
        <v>989</v>
      </c>
      <c r="E378">
        <f>IFERROR(VLOOKUP(C378,Weights!$A$2:$B$11,2,FALSE),0.6)</f>
        <v/>
      </c>
      <c r="F378">
        <f>D378*E378</f>
        <v/>
      </c>
    </row>
    <row r="379">
      <c r="A379" t="inlineStr">
        <is>
          <t>Lake</t>
        </is>
      </c>
      <c r="B379">
        <f>Inputs_State!$B$1</f>
        <v/>
      </c>
      <c r="C379" t="inlineStr">
        <is>
          <t>Safety / High Risk Handling</t>
        </is>
      </c>
      <c r="D379" t="n">
        <v>203</v>
      </c>
      <c r="E379">
        <f>IFERROR(VLOOKUP(C379,Weights!$A$2:$B$11,2,FALSE),0.7)</f>
        <v/>
      </c>
      <c r="F379">
        <f>D379*E379</f>
        <v/>
      </c>
    </row>
    <row r="380">
      <c r="A380" t="inlineStr">
        <is>
          <t>Lake</t>
        </is>
      </c>
      <c r="B380">
        <f>Inputs_State!$B$1</f>
        <v/>
      </c>
      <c r="C380" t="inlineStr">
        <is>
          <t>Incarceration Coordination</t>
        </is>
      </c>
      <c r="D380" t="n">
        <v>3362</v>
      </c>
      <c r="E380">
        <f>IFERROR(VLOOKUP(C380,Weights!$A$2:$B$11,2,FALSE),0.5)</f>
        <v/>
      </c>
      <c r="F380">
        <f>D380*E380</f>
        <v/>
      </c>
    </row>
    <row r="381">
      <c r="A381" t="inlineStr">
        <is>
          <t>Lake</t>
        </is>
      </c>
      <c r="B381">
        <f>Inputs_State!$B$1</f>
        <v/>
      </c>
      <c r="C381" t="inlineStr">
        <is>
          <t>Unlocatable / Skip Work</t>
        </is>
      </c>
      <c r="D381" t="n">
        <v>240</v>
      </c>
      <c r="E381">
        <f>IFERROR(VLOOKUP(C381,Weights!$A$2:$B$11,2,FALSE),0.8)</f>
        <v/>
      </c>
      <c r="F381">
        <f>D381*E381</f>
        <v/>
      </c>
    </row>
    <row r="382">
      <c r="A382" t="inlineStr">
        <is>
          <t>Lake of the Woods</t>
        </is>
      </c>
      <c r="B382">
        <f>Inputs_State!$B$1</f>
        <v/>
      </c>
      <c r="C382" t="inlineStr">
        <is>
          <t>Standard Case Work</t>
        </is>
      </c>
      <c r="D382" t="n">
        <v>124</v>
      </c>
      <c r="E382">
        <f>IFERROR(VLOOKUP(C382,Weights!$A$2:$B$11,2,FALSE),1)</f>
        <v/>
      </c>
      <c r="F382">
        <f>D382*E382</f>
        <v/>
      </c>
    </row>
    <row r="383">
      <c r="A383" t="inlineStr">
        <is>
          <t>Lake of the Woods</t>
        </is>
      </c>
      <c r="B383">
        <f>Inputs_State!$B$1</f>
        <v/>
      </c>
      <c r="C383" t="inlineStr">
        <is>
          <t>Full Locate / Long Locate</t>
        </is>
      </c>
      <c r="D383" t="n">
        <v>182</v>
      </c>
      <c r="E383">
        <f>IFERROR(VLOOKUP(C383,Weights!$A$2:$B$11,2,FALSE),2)</f>
        <v/>
      </c>
      <c r="F383">
        <f>D383*E383</f>
        <v/>
      </c>
    </row>
    <row r="384">
      <c r="A384" t="inlineStr">
        <is>
          <t>Lake of the Woods</t>
        </is>
      </c>
      <c r="B384">
        <f>Inputs_State!$B$1</f>
        <v/>
      </c>
      <c r="C384" t="inlineStr">
        <is>
          <t>METS / Interstate Complexity</t>
        </is>
      </c>
      <c r="D384" t="n">
        <v>51</v>
      </c>
      <c r="E384">
        <f>IFERROR(VLOOKUP(C384,Weights!$A$2:$B$11,2,FALSE),1.5)</f>
        <v/>
      </c>
      <c r="F384">
        <f>D384*E384</f>
        <v/>
      </c>
    </row>
    <row r="385">
      <c r="A385" t="inlineStr">
        <is>
          <t>Lake of the Woods</t>
        </is>
      </c>
      <c r="B385">
        <f>Inputs_State!$B$1</f>
        <v/>
      </c>
      <c r="C385" t="inlineStr">
        <is>
          <t>Enforcement / R&amp;M Actions</t>
        </is>
      </c>
      <c r="D385" t="n">
        <v>177</v>
      </c>
      <c r="E385">
        <f>IFERROR(VLOOKUP(C385,Weights!$A$2:$B$11,2,FALSE),1.3)</f>
        <v/>
      </c>
      <c r="F385">
        <f>D385*E385</f>
        <v/>
      </c>
    </row>
    <row r="386">
      <c r="A386" t="inlineStr">
        <is>
          <t>Lake of the Woods</t>
        </is>
      </c>
      <c r="B386">
        <f>Inputs_State!$B$1</f>
        <v/>
      </c>
      <c r="C386" t="inlineStr">
        <is>
          <t>Customer Contacts - Telephone</t>
        </is>
      </c>
      <c r="D386" t="n">
        <v>1168</v>
      </c>
      <c r="E386">
        <f>IFERROR(VLOOKUP(C386,Weights!$A$2:$B$11,2,FALSE),0.2)</f>
        <v/>
      </c>
      <c r="F386">
        <f>D386*E386</f>
        <v/>
      </c>
    </row>
    <row r="387">
      <c r="A387" t="inlineStr">
        <is>
          <t>Lake of the Woods</t>
        </is>
      </c>
      <c r="B387">
        <f>Inputs_State!$B$1</f>
        <v/>
      </c>
      <c r="C387" t="inlineStr">
        <is>
          <t>Customer Contacts - Email/Portal</t>
        </is>
      </c>
      <c r="D387" t="n">
        <v>8197</v>
      </c>
      <c r="E387">
        <f>IFERROR(VLOOKUP(C387,Weights!$A$2:$B$11,2,FALSE),0.15)</f>
        <v/>
      </c>
      <c r="F387">
        <f>D387*E387</f>
        <v/>
      </c>
    </row>
    <row r="388">
      <c r="A388" t="inlineStr">
        <is>
          <t>Lake of the Woods</t>
        </is>
      </c>
      <c r="B388">
        <f>Inputs_State!$B$1</f>
        <v/>
      </c>
      <c r="C388" t="inlineStr">
        <is>
          <t>Interpreter/Language Services</t>
        </is>
      </c>
      <c r="D388" t="n">
        <v>576</v>
      </c>
      <c r="E388">
        <f>IFERROR(VLOOKUP(C388,Weights!$A$2:$B$11,2,FALSE),0.6)</f>
        <v/>
      </c>
      <c r="F388">
        <f>D388*E388</f>
        <v/>
      </c>
    </row>
    <row r="389">
      <c r="A389" t="inlineStr">
        <is>
          <t>Lake of the Woods</t>
        </is>
      </c>
      <c r="B389">
        <f>Inputs_State!$B$1</f>
        <v/>
      </c>
      <c r="C389" t="inlineStr">
        <is>
          <t>Safety / High Risk Handling</t>
        </is>
      </c>
      <c r="D389" t="n">
        <v>104</v>
      </c>
      <c r="E389">
        <f>IFERROR(VLOOKUP(C389,Weights!$A$2:$B$11,2,FALSE),0.7)</f>
        <v/>
      </c>
      <c r="F389">
        <f>D389*E389</f>
        <v/>
      </c>
    </row>
    <row r="390">
      <c r="A390" t="inlineStr">
        <is>
          <t>Lake of the Woods</t>
        </is>
      </c>
      <c r="B390">
        <f>Inputs_State!$B$1</f>
        <v/>
      </c>
      <c r="C390" t="inlineStr">
        <is>
          <t>Incarceration Coordination</t>
        </is>
      </c>
      <c r="D390" t="n">
        <v>2356</v>
      </c>
      <c r="E390">
        <f>IFERROR(VLOOKUP(C390,Weights!$A$2:$B$11,2,FALSE),0.5)</f>
        <v/>
      </c>
      <c r="F390">
        <f>D390*E390</f>
        <v/>
      </c>
    </row>
    <row r="391">
      <c r="A391" t="inlineStr">
        <is>
          <t>Lake of the Woods</t>
        </is>
      </c>
      <c r="B391">
        <f>Inputs_State!$B$1</f>
        <v/>
      </c>
      <c r="C391" t="inlineStr">
        <is>
          <t>Unlocatable / Skip Work</t>
        </is>
      </c>
      <c r="D391" t="n">
        <v>146</v>
      </c>
      <c r="E391">
        <f>IFERROR(VLOOKUP(C391,Weights!$A$2:$B$11,2,FALSE),0.8)</f>
        <v/>
      </c>
      <c r="F391">
        <f>D391*E391</f>
        <v/>
      </c>
    </row>
    <row r="392">
      <c r="A392" t="inlineStr">
        <is>
          <t>Le Sueur</t>
        </is>
      </c>
      <c r="B392">
        <f>Inputs_State!$B$1</f>
        <v/>
      </c>
      <c r="C392" t="inlineStr">
        <is>
          <t>Standard Case Work</t>
        </is>
      </c>
      <c r="D392" t="n">
        <v>126</v>
      </c>
      <c r="E392">
        <f>IFERROR(VLOOKUP(C392,Weights!$A$2:$B$11,2,FALSE),1)</f>
        <v/>
      </c>
      <c r="F392">
        <f>D392*E392</f>
        <v/>
      </c>
    </row>
    <row r="393">
      <c r="A393" t="inlineStr">
        <is>
          <t>Le Sueur</t>
        </is>
      </c>
      <c r="B393">
        <f>Inputs_State!$B$1</f>
        <v/>
      </c>
      <c r="C393" t="inlineStr">
        <is>
          <t>Full Locate / Long Locate</t>
        </is>
      </c>
      <c r="D393" t="n">
        <v>233</v>
      </c>
      <c r="E393">
        <f>IFERROR(VLOOKUP(C393,Weights!$A$2:$B$11,2,FALSE),2)</f>
        <v/>
      </c>
      <c r="F393">
        <f>D393*E393</f>
        <v/>
      </c>
    </row>
    <row r="394">
      <c r="A394" t="inlineStr">
        <is>
          <t>Le Sueur</t>
        </is>
      </c>
      <c r="B394">
        <f>Inputs_State!$B$1</f>
        <v/>
      </c>
      <c r="C394" t="inlineStr">
        <is>
          <t>METS / Interstate Complexity</t>
        </is>
      </c>
      <c r="D394" t="n">
        <v>55</v>
      </c>
      <c r="E394">
        <f>IFERROR(VLOOKUP(C394,Weights!$A$2:$B$11,2,FALSE),1.5)</f>
        <v/>
      </c>
      <c r="F394">
        <f>D394*E394</f>
        <v/>
      </c>
    </row>
    <row r="395">
      <c r="A395" t="inlineStr">
        <is>
          <t>Le Sueur</t>
        </is>
      </c>
      <c r="B395">
        <f>Inputs_State!$B$1</f>
        <v/>
      </c>
      <c r="C395" t="inlineStr">
        <is>
          <t>Enforcement / R&amp;M Actions</t>
        </is>
      </c>
      <c r="D395" t="n">
        <v>202</v>
      </c>
      <c r="E395">
        <f>IFERROR(VLOOKUP(C395,Weights!$A$2:$B$11,2,FALSE),1.3)</f>
        <v/>
      </c>
      <c r="F395">
        <f>D395*E395</f>
        <v/>
      </c>
    </row>
    <row r="396">
      <c r="A396" t="inlineStr">
        <is>
          <t>Le Sueur</t>
        </is>
      </c>
      <c r="B396">
        <f>Inputs_State!$B$1</f>
        <v/>
      </c>
      <c r="C396" t="inlineStr">
        <is>
          <t>Customer Contacts - Telephone</t>
        </is>
      </c>
      <c r="D396" t="n">
        <v>1173</v>
      </c>
      <c r="E396">
        <f>IFERROR(VLOOKUP(C396,Weights!$A$2:$B$11,2,FALSE),0.2)</f>
        <v/>
      </c>
      <c r="F396">
        <f>D396*E396</f>
        <v/>
      </c>
    </row>
    <row r="397">
      <c r="A397" t="inlineStr">
        <is>
          <t>Le Sueur</t>
        </is>
      </c>
      <c r="B397">
        <f>Inputs_State!$B$1</f>
        <v/>
      </c>
      <c r="C397" t="inlineStr">
        <is>
          <t>Customer Contacts - Email/Portal</t>
        </is>
      </c>
      <c r="D397" t="n">
        <v>9505</v>
      </c>
      <c r="E397">
        <f>IFERROR(VLOOKUP(C397,Weights!$A$2:$B$11,2,FALSE),0.15)</f>
        <v/>
      </c>
      <c r="F397">
        <f>D397*E397</f>
        <v/>
      </c>
    </row>
    <row r="398">
      <c r="A398" t="inlineStr">
        <is>
          <t>Le Sueur</t>
        </is>
      </c>
      <c r="B398">
        <f>Inputs_State!$B$1</f>
        <v/>
      </c>
      <c r="C398" t="inlineStr">
        <is>
          <t>Interpreter/Language Services</t>
        </is>
      </c>
      <c r="D398" t="n">
        <v>709</v>
      </c>
      <c r="E398">
        <f>IFERROR(VLOOKUP(C398,Weights!$A$2:$B$11,2,FALSE),0.6)</f>
        <v/>
      </c>
      <c r="F398">
        <f>D398*E398</f>
        <v/>
      </c>
    </row>
    <row r="399">
      <c r="A399" t="inlineStr">
        <is>
          <t>Le Sueur</t>
        </is>
      </c>
      <c r="B399">
        <f>Inputs_State!$B$1</f>
        <v/>
      </c>
      <c r="C399" t="inlineStr">
        <is>
          <t>Safety / High Risk Handling</t>
        </is>
      </c>
      <c r="D399" t="n">
        <v>115</v>
      </c>
      <c r="E399">
        <f>IFERROR(VLOOKUP(C399,Weights!$A$2:$B$11,2,FALSE),0.7)</f>
        <v/>
      </c>
      <c r="F399">
        <f>D399*E399</f>
        <v/>
      </c>
    </row>
    <row r="400">
      <c r="A400" t="inlineStr">
        <is>
          <t>Le Sueur</t>
        </is>
      </c>
      <c r="B400">
        <f>Inputs_State!$B$1</f>
        <v/>
      </c>
      <c r="C400" t="inlineStr">
        <is>
          <t>Incarceration Coordination</t>
        </is>
      </c>
      <c r="D400" t="n">
        <v>2160</v>
      </c>
      <c r="E400">
        <f>IFERROR(VLOOKUP(C400,Weights!$A$2:$B$11,2,FALSE),0.5)</f>
        <v/>
      </c>
      <c r="F400">
        <f>D400*E400</f>
        <v/>
      </c>
    </row>
    <row r="401">
      <c r="A401" t="inlineStr">
        <is>
          <t>Le Sueur</t>
        </is>
      </c>
      <c r="B401">
        <f>Inputs_State!$B$1</f>
        <v/>
      </c>
      <c r="C401" t="inlineStr">
        <is>
          <t>Unlocatable / Skip Work</t>
        </is>
      </c>
      <c r="D401" t="n">
        <v>161</v>
      </c>
      <c r="E401">
        <f>IFERROR(VLOOKUP(C401,Weights!$A$2:$B$11,2,FALSE),0.8)</f>
        <v/>
      </c>
      <c r="F401">
        <f>D401*E401</f>
        <v/>
      </c>
    </row>
    <row r="402">
      <c r="A402" t="inlineStr">
        <is>
          <t>Lincoln</t>
        </is>
      </c>
      <c r="B402">
        <f>Inputs_State!$B$1</f>
        <v/>
      </c>
      <c r="C402" t="inlineStr">
        <is>
          <t>Standard Case Work</t>
        </is>
      </c>
      <c r="D402" t="n">
        <v>154</v>
      </c>
      <c r="E402">
        <f>IFERROR(VLOOKUP(C402,Weights!$A$2:$B$11,2,FALSE),1)</f>
        <v/>
      </c>
      <c r="F402">
        <f>D402*E402</f>
        <v/>
      </c>
    </row>
    <row r="403">
      <c r="A403" t="inlineStr">
        <is>
          <t>Lincoln</t>
        </is>
      </c>
      <c r="B403">
        <f>Inputs_State!$B$1</f>
        <v/>
      </c>
      <c r="C403" t="inlineStr">
        <is>
          <t>Full Locate / Long Locate</t>
        </is>
      </c>
      <c r="D403" t="n">
        <v>284</v>
      </c>
      <c r="E403">
        <f>IFERROR(VLOOKUP(C403,Weights!$A$2:$B$11,2,FALSE),2)</f>
        <v/>
      </c>
      <c r="F403">
        <f>D403*E403</f>
        <v/>
      </c>
    </row>
    <row r="404">
      <c r="A404" t="inlineStr">
        <is>
          <t>Lincoln</t>
        </is>
      </c>
      <c r="B404">
        <f>Inputs_State!$B$1</f>
        <v/>
      </c>
      <c r="C404" t="inlineStr">
        <is>
          <t>METS / Interstate Complexity</t>
        </is>
      </c>
      <c r="D404" t="n">
        <v>86</v>
      </c>
      <c r="E404">
        <f>IFERROR(VLOOKUP(C404,Weights!$A$2:$B$11,2,FALSE),1.5)</f>
        <v/>
      </c>
      <c r="F404">
        <f>D404*E404</f>
        <v/>
      </c>
    </row>
    <row r="405">
      <c r="A405" t="inlineStr">
        <is>
          <t>Lincoln</t>
        </is>
      </c>
      <c r="B405">
        <f>Inputs_State!$B$1</f>
        <v/>
      </c>
      <c r="C405" t="inlineStr">
        <is>
          <t>Enforcement / R&amp;M Actions</t>
        </is>
      </c>
      <c r="D405" t="n">
        <v>246</v>
      </c>
      <c r="E405">
        <f>IFERROR(VLOOKUP(C405,Weights!$A$2:$B$11,2,FALSE),1.3)</f>
        <v/>
      </c>
      <c r="F405">
        <f>D405*E405</f>
        <v/>
      </c>
    </row>
    <row r="406">
      <c r="A406" t="inlineStr">
        <is>
          <t>Lincoln</t>
        </is>
      </c>
      <c r="B406">
        <f>Inputs_State!$B$1</f>
        <v/>
      </c>
      <c r="C406" t="inlineStr">
        <is>
          <t>Customer Contacts - Telephone</t>
        </is>
      </c>
      <c r="D406" t="n">
        <v>1900</v>
      </c>
      <c r="E406">
        <f>IFERROR(VLOOKUP(C406,Weights!$A$2:$B$11,2,FALSE),0.2)</f>
        <v/>
      </c>
      <c r="F406">
        <f>D406*E406</f>
        <v/>
      </c>
    </row>
    <row r="407">
      <c r="A407" t="inlineStr">
        <is>
          <t>Lincoln</t>
        </is>
      </c>
      <c r="B407">
        <f>Inputs_State!$B$1</f>
        <v/>
      </c>
      <c r="C407" t="inlineStr">
        <is>
          <t>Customer Contacts - Email/Portal</t>
        </is>
      </c>
      <c r="D407" t="n">
        <v>10052</v>
      </c>
      <c r="E407">
        <f>IFERROR(VLOOKUP(C407,Weights!$A$2:$B$11,2,FALSE),0.15)</f>
        <v/>
      </c>
      <c r="F407">
        <f>D407*E407</f>
        <v/>
      </c>
    </row>
    <row r="408">
      <c r="A408" t="inlineStr">
        <is>
          <t>Lincoln</t>
        </is>
      </c>
      <c r="B408">
        <f>Inputs_State!$B$1</f>
        <v/>
      </c>
      <c r="C408" t="inlineStr">
        <is>
          <t>Interpreter/Language Services</t>
        </is>
      </c>
      <c r="D408" t="n">
        <v>983</v>
      </c>
      <c r="E408">
        <f>IFERROR(VLOOKUP(C408,Weights!$A$2:$B$11,2,FALSE),0.6)</f>
        <v/>
      </c>
      <c r="F408">
        <f>D408*E408</f>
        <v/>
      </c>
    </row>
    <row r="409">
      <c r="A409" t="inlineStr">
        <is>
          <t>Lincoln</t>
        </is>
      </c>
      <c r="B409">
        <f>Inputs_State!$B$1</f>
        <v/>
      </c>
      <c r="C409" t="inlineStr">
        <is>
          <t>Safety / High Risk Handling</t>
        </is>
      </c>
      <c r="D409" t="n">
        <v>184</v>
      </c>
      <c r="E409">
        <f>IFERROR(VLOOKUP(C409,Weights!$A$2:$B$11,2,FALSE),0.7)</f>
        <v/>
      </c>
      <c r="F409">
        <f>D409*E409</f>
        <v/>
      </c>
    </row>
    <row r="410">
      <c r="A410" t="inlineStr">
        <is>
          <t>Lincoln</t>
        </is>
      </c>
      <c r="B410">
        <f>Inputs_State!$B$1</f>
        <v/>
      </c>
      <c r="C410" t="inlineStr">
        <is>
          <t>Incarceration Coordination</t>
        </is>
      </c>
      <c r="D410" t="n">
        <v>3504</v>
      </c>
      <c r="E410">
        <f>IFERROR(VLOOKUP(C410,Weights!$A$2:$B$11,2,FALSE),0.5)</f>
        <v/>
      </c>
      <c r="F410">
        <f>D410*E410</f>
        <v/>
      </c>
    </row>
    <row r="411">
      <c r="A411" t="inlineStr">
        <is>
          <t>Lincoln</t>
        </is>
      </c>
      <c r="B411">
        <f>Inputs_State!$B$1</f>
        <v/>
      </c>
      <c r="C411" t="inlineStr">
        <is>
          <t>Unlocatable / Skip Work</t>
        </is>
      </c>
      <c r="D411" t="n">
        <v>245</v>
      </c>
      <c r="E411">
        <f>IFERROR(VLOOKUP(C411,Weights!$A$2:$B$11,2,FALSE),0.8)</f>
        <v/>
      </c>
      <c r="F411">
        <f>D411*E411</f>
        <v/>
      </c>
    </row>
    <row r="412">
      <c r="A412" t="inlineStr">
        <is>
          <t>Lyon</t>
        </is>
      </c>
      <c r="B412">
        <f>Inputs_State!$B$1</f>
        <v/>
      </c>
      <c r="C412" t="inlineStr">
        <is>
          <t>Standard Case Work</t>
        </is>
      </c>
      <c r="D412" t="n">
        <v>120</v>
      </c>
      <c r="E412">
        <f>IFERROR(VLOOKUP(C412,Weights!$A$2:$B$11,2,FALSE),1)</f>
        <v/>
      </c>
      <c r="F412">
        <f>D412*E412</f>
        <v/>
      </c>
    </row>
    <row r="413">
      <c r="A413" t="inlineStr">
        <is>
          <t>Lyon</t>
        </is>
      </c>
      <c r="B413">
        <f>Inputs_State!$B$1</f>
        <v/>
      </c>
      <c r="C413" t="inlineStr">
        <is>
          <t>Full Locate / Long Locate</t>
        </is>
      </c>
      <c r="D413" t="n">
        <v>251</v>
      </c>
      <c r="E413">
        <f>IFERROR(VLOOKUP(C413,Weights!$A$2:$B$11,2,FALSE),2)</f>
        <v/>
      </c>
      <c r="F413">
        <f>D413*E413</f>
        <v/>
      </c>
    </row>
    <row r="414">
      <c r="A414" t="inlineStr">
        <is>
          <t>Lyon</t>
        </is>
      </c>
      <c r="B414">
        <f>Inputs_State!$B$1</f>
        <v/>
      </c>
      <c r="C414" t="inlineStr">
        <is>
          <t>METS / Interstate Complexity</t>
        </is>
      </c>
      <c r="D414" t="n">
        <v>64</v>
      </c>
      <c r="E414">
        <f>IFERROR(VLOOKUP(C414,Weights!$A$2:$B$11,2,FALSE),1.5)</f>
        <v/>
      </c>
      <c r="F414">
        <f>D414*E414</f>
        <v/>
      </c>
    </row>
    <row r="415">
      <c r="A415" t="inlineStr">
        <is>
          <t>Lyon</t>
        </is>
      </c>
      <c r="B415">
        <f>Inputs_State!$B$1</f>
        <v/>
      </c>
      <c r="C415" t="inlineStr">
        <is>
          <t>Enforcement / R&amp;M Actions</t>
        </is>
      </c>
      <c r="D415" t="n">
        <v>235</v>
      </c>
      <c r="E415">
        <f>IFERROR(VLOOKUP(C415,Weights!$A$2:$B$11,2,FALSE),1.3)</f>
        <v/>
      </c>
      <c r="F415">
        <f>D415*E415</f>
        <v/>
      </c>
    </row>
    <row r="416">
      <c r="A416" t="inlineStr">
        <is>
          <t>Lyon</t>
        </is>
      </c>
      <c r="B416">
        <f>Inputs_State!$B$1</f>
        <v/>
      </c>
      <c r="C416" t="inlineStr">
        <is>
          <t>Customer Contacts - Telephone</t>
        </is>
      </c>
      <c r="D416" t="n">
        <v>1162</v>
      </c>
      <c r="E416">
        <f>IFERROR(VLOOKUP(C416,Weights!$A$2:$B$11,2,FALSE),0.2)</f>
        <v/>
      </c>
      <c r="F416">
        <f>D416*E416</f>
        <v/>
      </c>
    </row>
    <row r="417">
      <c r="A417" t="inlineStr">
        <is>
          <t>Lyon</t>
        </is>
      </c>
      <c r="B417">
        <f>Inputs_State!$B$1</f>
        <v/>
      </c>
      <c r="C417" t="inlineStr">
        <is>
          <t>Customer Contacts - Email/Portal</t>
        </is>
      </c>
      <c r="D417" t="n">
        <v>7809</v>
      </c>
      <c r="E417">
        <f>IFERROR(VLOOKUP(C417,Weights!$A$2:$B$11,2,FALSE),0.15)</f>
        <v/>
      </c>
      <c r="F417">
        <f>D417*E417</f>
        <v/>
      </c>
    </row>
    <row r="418">
      <c r="A418" t="inlineStr">
        <is>
          <t>Lyon</t>
        </is>
      </c>
      <c r="B418">
        <f>Inputs_State!$B$1</f>
        <v/>
      </c>
      <c r="C418" t="inlineStr">
        <is>
          <t>Interpreter/Language Services</t>
        </is>
      </c>
      <c r="D418" t="n">
        <v>771</v>
      </c>
      <c r="E418">
        <f>IFERROR(VLOOKUP(C418,Weights!$A$2:$B$11,2,FALSE),0.6)</f>
        <v/>
      </c>
      <c r="F418">
        <f>D418*E418</f>
        <v/>
      </c>
    </row>
    <row r="419">
      <c r="A419" t="inlineStr">
        <is>
          <t>Lyon</t>
        </is>
      </c>
      <c r="B419">
        <f>Inputs_State!$B$1</f>
        <v/>
      </c>
      <c r="C419" t="inlineStr">
        <is>
          <t>Safety / High Risk Handling</t>
        </is>
      </c>
      <c r="D419" t="n">
        <v>126</v>
      </c>
      <c r="E419">
        <f>IFERROR(VLOOKUP(C419,Weights!$A$2:$B$11,2,FALSE),0.7)</f>
        <v/>
      </c>
      <c r="F419">
        <f>D419*E419</f>
        <v/>
      </c>
    </row>
    <row r="420">
      <c r="A420" t="inlineStr">
        <is>
          <t>Lyon</t>
        </is>
      </c>
      <c r="B420">
        <f>Inputs_State!$B$1</f>
        <v/>
      </c>
      <c r="C420" t="inlineStr">
        <is>
          <t>Incarceration Coordination</t>
        </is>
      </c>
      <c r="D420" t="n">
        <v>2592</v>
      </c>
      <c r="E420">
        <f>IFERROR(VLOOKUP(C420,Weights!$A$2:$B$11,2,FALSE),0.5)</f>
        <v/>
      </c>
      <c r="F420">
        <f>D420*E420</f>
        <v/>
      </c>
    </row>
    <row r="421">
      <c r="A421" t="inlineStr">
        <is>
          <t>Lyon</t>
        </is>
      </c>
      <c r="B421">
        <f>Inputs_State!$B$1</f>
        <v/>
      </c>
      <c r="C421" t="inlineStr">
        <is>
          <t>Unlocatable / Skip Work</t>
        </is>
      </c>
      <c r="D421" t="n">
        <v>145</v>
      </c>
      <c r="E421">
        <f>IFERROR(VLOOKUP(C421,Weights!$A$2:$B$11,2,FALSE),0.8)</f>
        <v/>
      </c>
      <c r="F421">
        <f>D421*E421</f>
        <v/>
      </c>
    </row>
    <row r="422">
      <c r="A422" t="inlineStr">
        <is>
          <t>McLeod</t>
        </is>
      </c>
      <c r="B422">
        <f>Inputs_State!$B$1</f>
        <v/>
      </c>
      <c r="C422" t="inlineStr">
        <is>
          <t>Standard Case Work</t>
        </is>
      </c>
      <c r="D422" t="n">
        <v>101</v>
      </c>
      <c r="E422">
        <f>IFERROR(VLOOKUP(C422,Weights!$A$2:$B$11,2,FALSE),1)</f>
        <v/>
      </c>
      <c r="F422">
        <f>D422*E422</f>
        <v/>
      </c>
    </row>
    <row r="423">
      <c r="A423" t="inlineStr">
        <is>
          <t>McLeod</t>
        </is>
      </c>
      <c r="B423">
        <f>Inputs_State!$B$1</f>
        <v/>
      </c>
      <c r="C423" t="inlineStr">
        <is>
          <t>Full Locate / Long Locate</t>
        </is>
      </c>
      <c r="D423" t="n">
        <v>181</v>
      </c>
      <c r="E423">
        <f>IFERROR(VLOOKUP(C423,Weights!$A$2:$B$11,2,FALSE),2)</f>
        <v/>
      </c>
      <c r="F423">
        <f>D423*E423</f>
        <v/>
      </c>
    </row>
    <row r="424">
      <c r="A424" t="inlineStr">
        <is>
          <t>McLeod</t>
        </is>
      </c>
      <c r="B424">
        <f>Inputs_State!$B$1</f>
        <v/>
      </c>
      <c r="C424" t="inlineStr">
        <is>
          <t>METS / Interstate Complexity</t>
        </is>
      </c>
      <c r="D424" t="n">
        <v>48</v>
      </c>
      <c r="E424">
        <f>IFERROR(VLOOKUP(C424,Weights!$A$2:$B$11,2,FALSE),1.5)</f>
        <v/>
      </c>
      <c r="F424">
        <f>D424*E424</f>
        <v/>
      </c>
    </row>
    <row r="425">
      <c r="A425" t="inlineStr">
        <is>
          <t>McLeod</t>
        </is>
      </c>
      <c r="B425">
        <f>Inputs_State!$B$1</f>
        <v/>
      </c>
      <c r="C425" t="inlineStr">
        <is>
          <t>Enforcement / R&amp;M Actions</t>
        </is>
      </c>
      <c r="D425" t="n">
        <v>157</v>
      </c>
      <c r="E425">
        <f>IFERROR(VLOOKUP(C425,Weights!$A$2:$B$11,2,FALSE),1.3)</f>
        <v/>
      </c>
      <c r="F425">
        <f>D425*E425</f>
        <v/>
      </c>
    </row>
    <row r="426">
      <c r="A426" t="inlineStr">
        <is>
          <t>McLeod</t>
        </is>
      </c>
      <c r="B426">
        <f>Inputs_State!$B$1</f>
        <v/>
      </c>
      <c r="C426" t="inlineStr">
        <is>
          <t>Customer Contacts - Telephone</t>
        </is>
      </c>
      <c r="D426" t="n">
        <v>1077</v>
      </c>
      <c r="E426">
        <f>IFERROR(VLOOKUP(C426,Weights!$A$2:$B$11,2,FALSE),0.2)</f>
        <v/>
      </c>
      <c r="F426">
        <f>D426*E426</f>
        <v/>
      </c>
    </row>
    <row r="427">
      <c r="A427" t="inlineStr">
        <is>
          <t>McLeod</t>
        </is>
      </c>
      <c r="B427">
        <f>Inputs_State!$B$1</f>
        <v/>
      </c>
      <c r="C427" t="inlineStr">
        <is>
          <t>Customer Contacts - Email/Portal</t>
        </is>
      </c>
      <c r="D427" t="n">
        <v>6237</v>
      </c>
      <c r="E427">
        <f>IFERROR(VLOOKUP(C427,Weights!$A$2:$B$11,2,FALSE),0.15)</f>
        <v/>
      </c>
      <c r="F427">
        <f>D427*E427</f>
        <v/>
      </c>
    </row>
    <row r="428">
      <c r="A428" t="inlineStr">
        <is>
          <t>McLeod</t>
        </is>
      </c>
      <c r="B428">
        <f>Inputs_State!$B$1</f>
        <v/>
      </c>
      <c r="C428" t="inlineStr">
        <is>
          <t>Interpreter/Language Services</t>
        </is>
      </c>
      <c r="D428" t="n">
        <v>481</v>
      </c>
      <c r="E428">
        <f>IFERROR(VLOOKUP(C428,Weights!$A$2:$B$11,2,FALSE),0.6)</f>
        <v/>
      </c>
      <c r="F428">
        <f>D428*E428</f>
        <v/>
      </c>
    </row>
    <row r="429">
      <c r="A429" t="inlineStr">
        <is>
          <t>McLeod</t>
        </is>
      </c>
      <c r="B429">
        <f>Inputs_State!$B$1</f>
        <v/>
      </c>
      <c r="C429" t="inlineStr">
        <is>
          <t>Safety / High Risk Handling</t>
        </is>
      </c>
      <c r="D429" t="n">
        <v>87</v>
      </c>
      <c r="E429">
        <f>IFERROR(VLOOKUP(C429,Weights!$A$2:$B$11,2,FALSE),0.7)</f>
        <v/>
      </c>
      <c r="F429">
        <f>D429*E429</f>
        <v/>
      </c>
    </row>
    <row r="430">
      <c r="A430" t="inlineStr">
        <is>
          <t>McLeod</t>
        </is>
      </c>
      <c r="B430">
        <f>Inputs_State!$B$1</f>
        <v/>
      </c>
      <c r="C430" t="inlineStr">
        <is>
          <t>Incarceration Coordination</t>
        </is>
      </c>
      <c r="D430" t="n">
        <v>2075</v>
      </c>
      <c r="E430">
        <f>IFERROR(VLOOKUP(C430,Weights!$A$2:$B$11,2,FALSE),0.5)</f>
        <v/>
      </c>
      <c r="F430">
        <f>D430*E430</f>
        <v/>
      </c>
    </row>
    <row r="431">
      <c r="A431" t="inlineStr">
        <is>
          <t>McLeod</t>
        </is>
      </c>
      <c r="B431">
        <f>Inputs_State!$B$1</f>
        <v/>
      </c>
      <c r="C431" t="inlineStr">
        <is>
          <t>Unlocatable / Skip Work</t>
        </is>
      </c>
      <c r="D431" t="n">
        <v>124</v>
      </c>
      <c r="E431">
        <f>IFERROR(VLOOKUP(C431,Weights!$A$2:$B$11,2,FALSE),0.8)</f>
        <v/>
      </c>
      <c r="F431">
        <f>D431*E431</f>
        <v/>
      </c>
    </row>
    <row r="432">
      <c r="A432" t="inlineStr">
        <is>
          <t>Mahnomen</t>
        </is>
      </c>
      <c r="B432">
        <f>Inputs_State!$B$1</f>
        <v/>
      </c>
      <c r="C432" t="inlineStr">
        <is>
          <t>Standard Case Work</t>
        </is>
      </c>
      <c r="D432" t="n">
        <v>159</v>
      </c>
      <c r="E432">
        <f>IFERROR(VLOOKUP(C432,Weights!$A$2:$B$11,2,FALSE),1)</f>
        <v/>
      </c>
      <c r="F432">
        <f>D432*E432</f>
        <v/>
      </c>
    </row>
    <row r="433">
      <c r="A433" t="inlineStr">
        <is>
          <t>Mahnomen</t>
        </is>
      </c>
      <c r="B433">
        <f>Inputs_State!$B$1</f>
        <v/>
      </c>
      <c r="C433" t="inlineStr">
        <is>
          <t>Full Locate / Long Locate</t>
        </is>
      </c>
      <c r="D433" t="n">
        <v>225</v>
      </c>
      <c r="E433">
        <f>IFERROR(VLOOKUP(C433,Weights!$A$2:$B$11,2,FALSE),2)</f>
        <v/>
      </c>
      <c r="F433">
        <f>D433*E433</f>
        <v/>
      </c>
    </row>
    <row r="434">
      <c r="A434" t="inlineStr">
        <is>
          <t>Mahnomen</t>
        </is>
      </c>
      <c r="B434">
        <f>Inputs_State!$B$1</f>
        <v/>
      </c>
      <c r="C434" t="inlineStr">
        <is>
          <t>METS / Interstate Complexity</t>
        </is>
      </c>
      <c r="D434" t="n">
        <v>56</v>
      </c>
      <c r="E434">
        <f>IFERROR(VLOOKUP(C434,Weights!$A$2:$B$11,2,FALSE),1.5)</f>
        <v/>
      </c>
      <c r="F434">
        <f>D434*E434</f>
        <v/>
      </c>
    </row>
    <row r="435">
      <c r="A435" t="inlineStr">
        <is>
          <t>Mahnomen</t>
        </is>
      </c>
      <c r="B435">
        <f>Inputs_State!$B$1</f>
        <v/>
      </c>
      <c r="C435" t="inlineStr">
        <is>
          <t>Enforcement / R&amp;M Actions</t>
        </is>
      </c>
      <c r="D435" t="n">
        <v>208</v>
      </c>
      <c r="E435">
        <f>IFERROR(VLOOKUP(C435,Weights!$A$2:$B$11,2,FALSE),1.3)</f>
        <v/>
      </c>
      <c r="F435">
        <f>D435*E435</f>
        <v/>
      </c>
    </row>
    <row r="436">
      <c r="A436" t="inlineStr">
        <is>
          <t>Mahnomen</t>
        </is>
      </c>
      <c r="B436">
        <f>Inputs_State!$B$1</f>
        <v/>
      </c>
      <c r="C436" t="inlineStr">
        <is>
          <t>Customer Contacts - Telephone</t>
        </is>
      </c>
      <c r="D436" t="n">
        <v>1339</v>
      </c>
      <c r="E436">
        <f>IFERROR(VLOOKUP(C436,Weights!$A$2:$B$11,2,FALSE),0.2)</f>
        <v/>
      </c>
      <c r="F436">
        <f>D436*E436</f>
        <v/>
      </c>
    </row>
    <row r="437">
      <c r="A437" t="inlineStr">
        <is>
          <t>Mahnomen</t>
        </is>
      </c>
      <c r="B437">
        <f>Inputs_State!$B$1</f>
        <v/>
      </c>
      <c r="C437" t="inlineStr">
        <is>
          <t>Customer Contacts - Email/Portal</t>
        </is>
      </c>
      <c r="D437" t="n">
        <v>9167</v>
      </c>
      <c r="E437">
        <f>IFERROR(VLOOKUP(C437,Weights!$A$2:$B$11,2,FALSE),0.15)</f>
        <v/>
      </c>
      <c r="F437">
        <f>D437*E437</f>
        <v/>
      </c>
    </row>
    <row r="438">
      <c r="A438" t="inlineStr">
        <is>
          <t>Mahnomen</t>
        </is>
      </c>
      <c r="B438">
        <f>Inputs_State!$B$1</f>
        <v/>
      </c>
      <c r="C438" t="inlineStr">
        <is>
          <t>Interpreter/Language Services</t>
        </is>
      </c>
      <c r="D438" t="n">
        <v>791</v>
      </c>
      <c r="E438">
        <f>IFERROR(VLOOKUP(C438,Weights!$A$2:$B$11,2,FALSE),0.6)</f>
        <v/>
      </c>
      <c r="F438">
        <f>D438*E438</f>
        <v/>
      </c>
    </row>
    <row r="439">
      <c r="A439" t="inlineStr">
        <is>
          <t>Mahnomen</t>
        </is>
      </c>
      <c r="B439">
        <f>Inputs_State!$B$1</f>
        <v/>
      </c>
      <c r="C439" t="inlineStr">
        <is>
          <t>Safety / High Risk Handling</t>
        </is>
      </c>
      <c r="D439" t="n">
        <v>136</v>
      </c>
      <c r="E439">
        <f>IFERROR(VLOOKUP(C439,Weights!$A$2:$B$11,2,FALSE),0.7)</f>
        <v/>
      </c>
      <c r="F439">
        <f>D439*E439</f>
        <v/>
      </c>
    </row>
    <row r="440">
      <c r="A440" t="inlineStr">
        <is>
          <t>Mahnomen</t>
        </is>
      </c>
      <c r="B440">
        <f>Inputs_State!$B$1</f>
        <v/>
      </c>
      <c r="C440" t="inlineStr">
        <is>
          <t>Incarceration Coordination</t>
        </is>
      </c>
      <c r="D440" t="n">
        <v>2386</v>
      </c>
      <c r="E440">
        <f>IFERROR(VLOOKUP(C440,Weights!$A$2:$B$11,2,FALSE),0.5)</f>
        <v/>
      </c>
      <c r="F440">
        <f>D440*E440</f>
        <v/>
      </c>
    </row>
    <row r="441">
      <c r="A441" t="inlineStr">
        <is>
          <t>Mahnomen</t>
        </is>
      </c>
      <c r="B441">
        <f>Inputs_State!$B$1</f>
        <v/>
      </c>
      <c r="C441" t="inlineStr">
        <is>
          <t>Unlocatable / Skip Work</t>
        </is>
      </c>
      <c r="D441" t="n">
        <v>169</v>
      </c>
      <c r="E441">
        <f>IFERROR(VLOOKUP(C441,Weights!$A$2:$B$11,2,FALSE),0.8)</f>
        <v/>
      </c>
      <c r="F441">
        <f>D441*E441</f>
        <v/>
      </c>
    </row>
    <row r="442">
      <c r="A442" t="inlineStr">
        <is>
          <t>Marshall</t>
        </is>
      </c>
      <c r="B442">
        <f>Inputs_State!$B$1</f>
        <v/>
      </c>
      <c r="C442" t="inlineStr">
        <is>
          <t>Standard Case Work</t>
        </is>
      </c>
      <c r="D442" t="n">
        <v>284</v>
      </c>
      <c r="E442">
        <f>IFERROR(VLOOKUP(C442,Weights!$A$2:$B$11,2,FALSE),1)</f>
        <v/>
      </c>
      <c r="F442">
        <f>D442*E442</f>
        <v/>
      </c>
    </row>
    <row r="443">
      <c r="A443" t="inlineStr">
        <is>
          <t>Marshall</t>
        </is>
      </c>
      <c r="B443">
        <f>Inputs_State!$B$1</f>
        <v/>
      </c>
      <c r="C443" t="inlineStr">
        <is>
          <t>Full Locate / Long Locate</t>
        </is>
      </c>
      <c r="D443" t="n">
        <v>417</v>
      </c>
      <c r="E443">
        <f>IFERROR(VLOOKUP(C443,Weights!$A$2:$B$11,2,FALSE),2)</f>
        <v/>
      </c>
      <c r="F443">
        <f>D443*E443</f>
        <v/>
      </c>
    </row>
    <row r="444">
      <c r="A444" t="inlineStr">
        <is>
          <t>Marshall</t>
        </is>
      </c>
      <c r="B444">
        <f>Inputs_State!$B$1</f>
        <v/>
      </c>
      <c r="C444" t="inlineStr">
        <is>
          <t>METS / Interstate Complexity</t>
        </is>
      </c>
      <c r="D444" t="n">
        <v>124</v>
      </c>
      <c r="E444">
        <f>IFERROR(VLOOKUP(C444,Weights!$A$2:$B$11,2,FALSE),1.5)</f>
        <v/>
      </c>
      <c r="F444">
        <f>D444*E444</f>
        <v/>
      </c>
    </row>
    <row r="445">
      <c r="A445" t="inlineStr">
        <is>
          <t>Marshall</t>
        </is>
      </c>
      <c r="B445">
        <f>Inputs_State!$B$1</f>
        <v/>
      </c>
      <c r="C445" t="inlineStr">
        <is>
          <t>Enforcement / R&amp;M Actions</t>
        </is>
      </c>
      <c r="D445" t="n">
        <v>457</v>
      </c>
      <c r="E445">
        <f>IFERROR(VLOOKUP(C445,Weights!$A$2:$B$11,2,FALSE),1.3)</f>
        <v/>
      </c>
      <c r="F445">
        <f>D445*E445</f>
        <v/>
      </c>
    </row>
    <row r="446">
      <c r="A446" t="inlineStr">
        <is>
          <t>Marshall</t>
        </is>
      </c>
      <c r="B446">
        <f>Inputs_State!$B$1</f>
        <v/>
      </c>
      <c r="C446" t="inlineStr">
        <is>
          <t>Customer Contacts - Telephone</t>
        </is>
      </c>
      <c r="D446" t="n">
        <v>2975</v>
      </c>
      <c r="E446">
        <f>IFERROR(VLOOKUP(C446,Weights!$A$2:$B$11,2,FALSE),0.2)</f>
        <v/>
      </c>
      <c r="F446">
        <f>D446*E446</f>
        <v/>
      </c>
    </row>
    <row r="447">
      <c r="A447" t="inlineStr">
        <is>
          <t>Marshall</t>
        </is>
      </c>
      <c r="B447">
        <f>Inputs_State!$B$1</f>
        <v/>
      </c>
      <c r="C447" t="inlineStr">
        <is>
          <t>Customer Contacts - Email/Portal</t>
        </is>
      </c>
      <c r="D447" t="n">
        <v>19338</v>
      </c>
      <c r="E447">
        <f>IFERROR(VLOOKUP(C447,Weights!$A$2:$B$11,2,FALSE),0.15)</f>
        <v/>
      </c>
      <c r="F447">
        <f>D447*E447</f>
        <v/>
      </c>
    </row>
    <row r="448">
      <c r="A448" t="inlineStr">
        <is>
          <t>Marshall</t>
        </is>
      </c>
      <c r="B448">
        <f>Inputs_State!$B$1</f>
        <v/>
      </c>
      <c r="C448" t="inlineStr">
        <is>
          <t>Interpreter/Language Services</t>
        </is>
      </c>
      <c r="D448" t="n">
        <v>1372</v>
      </c>
      <c r="E448">
        <f>IFERROR(VLOOKUP(C448,Weights!$A$2:$B$11,2,FALSE),0.6)</f>
        <v/>
      </c>
      <c r="F448">
        <f>D448*E448</f>
        <v/>
      </c>
    </row>
    <row r="449">
      <c r="A449" t="inlineStr">
        <is>
          <t>Marshall</t>
        </is>
      </c>
      <c r="B449">
        <f>Inputs_State!$B$1</f>
        <v/>
      </c>
      <c r="C449" t="inlineStr">
        <is>
          <t>Safety / High Risk Handling</t>
        </is>
      </c>
      <c r="D449" t="n">
        <v>279</v>
      </c>
      <c r="E449">
        <f>IFERROR(VLOOKUP(C449,Weights!$A$2:$B$11,2,FALSE),0.7)</f>
        <v/>
      </c>
      <c r="F449">
        <f>D449*E449</f>
        <v/>
      </c>
    </row>
    <row r="450">
      <c r="A450" t="inlineStr">
        <is>
          <t>Marshall</t>
        </is>
      </c>
      <c r="B450">
        <f>Inputs_State!$B$1</f>
        <v/>
      </c>
      <c r="C450" t="inlineStr">
        <is>
          <t>Incarceration Coordination</t>
        </is>
      </c>
      <c r="D450" t="n">
        <v>4531</v>
      </c>
      <c r="E450">
        <f>IFERROR(VLOOKUP(C450,Weights!$A$2:$B$11,2,FALSE),0.5)</f>
        <v/>
      </c>
      <c r="F450">
        <f>D450*E450</f>
        <v/>
      </c>
    </row>
    <row r="451">
      <c r="A451" t="inlineStr">
        <is>
          <t>Marshall</t>
        </is>
      </c>
      <c r="B451">
        <f>Inputs_State!$B$1</f>
        <v/>
      </c>
      <c r="C451" t="inlineStr">
        <is>
          <t>Unlocatable / Skip Work</t>
        </is>
      </c>
      <c r="D451" t="n">
        <v>307</v>
      </c>
      <c r="E451">
        <f>IFERROR(VLOOKUP(C451,Weights!$A$2:$B$11,2,FALSE),0.8)</f>
        <v/>
      </c>
      <c r="F451">
        <f>D451*E451</f>
        <v/>
      </c>
    </row>
    <row r="452">
      <c r="A452" t="inlineStr">
        <is>
          <t>Martin</t>
        </is>
      </c>
      <c r="B452">
        <f>Inputs_State!$B$1</f>
        <v/>
      </c>
      <c r="C452" t="inlineStr">
        <is>
          <t>Standard Case Work</t>
        </is>
      </c>
      <c r="D452" t="n">
        <v>277</v>
      </c>
      <c r="E452">
        <f>IFERROR(VLOOKUP(C452,Weights!$A$2:$B$11,2,FALSE),1)</f>
        <v/>
      </c>
      <c r="F452">
        <f>D452*E452</f>
        <v/>
      </c>
    </row>
    <row r="453">
      <c r="A453" t="inlineStr">
        <is>
          <t>Martin</t>
        </is>
      </c>
      <c r="B453">
        <f>Inputs_State!$B$1</f>
        <v/>
      </c>
      <c r="C453" t="inlineStr">
        <is>
          <t>Full Locate / Long Locate</t>
        </is>
      </c>
      <c r="D453" t="n">
        <v>480</v>
      </c>
      <c r="E453">
        <f>IFERROR(VLOOKUP(C453,Weights!$A$2:$B$11,2,FALSE),2)</f>
        <v/>
      </c>
      <c r="F453">
        <f>D453*E453</f>
        <v/>
      </c>
    </row>
    <row r="454">
      <c r="A454" t="inlineStr">
        <is>
          <t>Martin</t>
        </is>
      </c>
      <c r="B454">
        <f>Inputs_State!$B$1</f>
        <v/>
      </c>
      <c r="C454" t="inlineStr">
        <is>
          <t>METS / Interstate Complexity</t>
        </is>
      </c>
      <c r="D454" t="n">
        <v>121</v>
      </c>
      <c r="E454">
        <f>IFERROR(VLOOKUP(C454,Weights!$A$2:$B$11,2,FALSE),1.5)</f>
        <v/>
      </c>
      <c r="F454">
        <f>D454*E454</f>
        <v/>
      </c>
    </row>
    <row r="455">
      <c r="A455" t="inlineStr">
        <is>
          <t>Martin</t>
        </is>
      </c>
      <c r="B455">
        <f>Inputs_State!$B$1</f>
        <v/>
      </c>
      <c r="C455" t="inlineStr">
        <is>
          <t>Enforcement / R&amp;M Actions</t>
        </is>
      </c>
      <c r="D455" t="n">
        <v>443</v>
      </c>
      <c r="E455">
        <f>IFERROR(VLOOKUP(C455,Weights!$A$2:$B$11,2,FALSE),1.3)</f>
        <v/>
      </c>
      <c r="F455">
        <f>D455*E455</f>
        <v/>
      </c>
    </row>
    <row r="456">
      <c r="A456" t="inlineStr">
        <is>
          <t>Martin</t>
        </is>
      </c>
      <c r="B456">
        <f>Inputs_State!$B$1</f>
        <v/>
      </c>
      <c r="C456" t="inlineStr">
        <is>
          <t>Customer Contacts - Telephone</t>
        </is>
      </c>
      <c r="D456" t="n">
        <v>2670</v>
      </c>
      <c r="E456">
        <f>IFERROR(VLOOKUP(C456,Weights!$A$2:$B$11,2,FALSE),0.2)</f>
        <v/>
      </c>
      <c r="F456">
        <f>D456*E456</f>
        <v/>
      </c>
    </row>
    <row r="457">
      <c r="A457" t="inlineStr">
        <is>
          <t>Martin</t>
        </is>
      </c>
      <c r="B457">
        <f>Inputs_State!$B$1</f>
        <v/>
      </c>
      <c r="C457" t="inlineStr">
        <is>
          <t>Customer Contacts - Email/Portal</t>
        </is>
      </c>
      <c r="D457" t="n">
        <v>19288</v>
      </c>
      <c r="E457">
        <f>IFERROR(VLOOKUP(C457,Weights!$A$2:$B$11,2,FALSE),0.15)</f>
        <v/>
      </c>
      <c r="F457">
        <f>D457*E457</f>
        <v/>
      </c>
    </row>
    <row r="458">
      <c r="A458" t="inlineStr">
        <is>
          <t>Martin</t>
        </is>
      </c>
      <c r="B458">
        <f>Inputs_State!$B$1</f>
        <v/>
      </c>
      <c r="C458" t="inlineStr">
        <is>
          <t>Interpreter/Language Services</t>
        </is>
      </c>
      <c r="D458" t="n">
        <v>1675</v>
      </c>
      <c r="E458">
        <f>IFERROR(VLOOKUP(C458,Weights!$A$2:$B$11,2,FALSE),0.6)</f>
        <v/>
      </c>
      <c r="F458">
        <f>D458*E458</f>
        <v/>
      </c>
    </row>
    <row r="459">
      <c r="A459" t="inlineStr">
        <is>
          <t>Martin</t>
        </is>
      </c>
      <c r="B459">
        <f>Inputs_State!$B$1</f>
        <v/>
      </c>
      <c r="C459" t="inlineStr">
        <is>
          <t>Safety / High Risk Handling</t>
        </is>
      </c>
      <c r="D459" t="n">
        <v>265</v>
      </c>
      <c r="E459">
        <f>IFERROR(VLOOKUP(C459,Weights!$A$2:$B$11,2,FALSE),0.7)</f>
        <v/>
      </c>
      <c r="F459">
        <f>D459*E459</f>
        <v/>
      </c>
    </row>
    <row r="460">
      <c r="A460" t="inlineStr">
        <is>
          <t>Martin</t>
        </is>
      </c>
      <c r="B460">
        <f>Inputs_State!$B$1</f>
        <v/>
      </c>
      <c r="C460" t="inlineStr">
        <is>
          <t>Incarceration Coordination</t>
        </is>
      </c>
      <c r="D460" t="n">
        <v>4915</v>
      </c>
      <c r="E460">
        <f>IFERROR(VLOOKUP(C460,Weights!$A$2:$B$11,2,FALSE),0.5)</f>
        <v/>
      </c>
      <c r="F460">
        <f>D460*E460</f>
        <v/>
      </c>
    </row>
    <row r="461">
      <c r="A461" t="inlineStr">
        <is>
          <t>Martin</t>
        </is>
      </c>
      <c r="B461">
        <f>Inputs_State!$B$1</f>
        <v/>
      </c>
      <c r="C461" t="inlineStr">
        <is>
          <t>Unlocatable / Skip Work</t>
        </is>
      </c>
      <c r="D461" t="n">
        <v>371</v>
      </c>
      <c r="E461">
        <f>IFERROR(VLOOKUP(C461,Weights!$A$2:$B$11,2,FALSE),0.8)</f>
        <v/>
      </c>
      <c r="F461">
        <f>D461*E461</f>
        <v/>
      </c>
    </row>
    <row r="462">
      <c r="A462" t="inlineStr">
        <is>
          <t>Meeker</t>
        </is>
      </c>
      <c r="B462">
        <f>Inputs_State!$B$1</f>
        <v/>
      </c>
      <c r="C462" t="inlineStr">
        <is>
          <t>Standard Case Work</t>
        </is>
      </c>
      <c r="D462" t="n">
        <v>101</v>
      </c>
      <c r="E462">
        <f>IFERROR(VLOOKUP(C462,Weights!$A$2:$B$11,2,FALSE),1)</f>
        <v/>
      </c>
      <c r="F462">
        <f>D462*E462</f>
        <v/>
      </c>
    </row>
    <row r="463">
      <c r="A463" t="inlineStr">
        <is>
          <t>Meeker</t>
        </is>
      </c>
      <c r="B463">
        <f>Inputs_State!$B$1</f>
        <v/>
      </c>
      <c r="C463" t="inlineStr">
        <is>
          <t>Full Locate / Long Locate</t>
        </is>
      </c>
      <c r="D463" t="n">
        <v>175</v>
      </c>
      <c r="E463">
        <f>IFERROR(VLOOKUP(C463,Weights!$A$2:$B$11,2,FALSE),2)</f>
        <v/>
      </c>
      <c r="F463">
        <f>D463*E463</f>
        <v/>
      </c>
    </row>
    <row r="464">
      <c r="A464" t="inlineStr">
        <is>
          <t>Meeker</t>
        </is>
      </c>
      <c r="B464">
        <f>Inputs_State!$B$1</f>
        <v/>
      </c>
      <c r="C464" t="inlineStr">
        <is>
          <t>METS / Interstate Complexity</t>
        </is>
      </c>
      <c r="D464" t="n">
        <v>41</v>
      </c>
      <c r="E464">
        <f>IFERROR(VLOOKUP(C464,Weights!$A$2:$B$11,2,FALSE),1.5)</f>
        <v/>
      </c>
      <c r="F464">
        <f>D464*E464</f>
        <v/>
      </c>
    </row>
    <row r="465">
      <c r="A465" t="inlineStr">
        <is>
          <t>Meeker</t>
        </is>
      </c>
      <c r="B465">
        <f>Inputs_State!$B$1</f>
        <v/>
      </c>
      <c r="C465" t="inlineStr">
        <is>
          <t>Enforcement / R&amp;M Actions</t>
        </is>
      </c>
      <c r="D465" t="n">
        <v>143</v>
      </c>
      <c r="E465">
        <f>IFERROR(VLOOKUP(C465,Weights!$A$2:$B$11,2,FALSE),1.3)</f>
        <v/>
      </c>
      <c r="F465">
        <f>D465*E465</f>
        <v/>
      </c>
    </row>
    <row r="466">
      <c r="A466" t="inlineStr">
        <is>
          <t>Meeker</t>
        </is>
      </c>
      <c r="B466">
        <f>Inputs_State!$B$1</f>
        <v/>
      </c>
      <c r="C466" t="inlineStr">
        <is>
          <t>Customer Contacts - Telephone</t>
        </is>
      </c>
      <c r="D466" t="n">
        <v>958</v>
      </c>
      <c r="E466">
        <f>IFERROR(VLOOKUP(C466,Weights!$A$2:$B$11,2,FALSE),0.2)</f>
        <v/>
      </c>
      <c r="F466">
        <f>D466*E466</f>
        <v/>
      </c>
    </row>
    <row r="467">
      <c r="A467" t="inlineStr">
        <is>
          <t>Meeker</t>
        </is>
      </c>
      <c r="B467">
        <f>Inputs_State!$B$1</f>
        <v/>
      </c>
      <c r="C467" t="inlineStr">
        <is>
          <t>Customer Contacts - Email/Portal</t>
        </is>
      </c>
      <c r="D467" t="n">
        <v>7404</v>
      </c>
      <c r="E467">
        <f>IFERROR(VLOOKUP(C467,Weights!$A$2:$B$11,2,FALSE),0.15)</f>
        <v/>
      </c>
      <c r="F467">
        <f>D467*E467</f>
        <v/>
      </c>
    </row>
    <row r="468">
      <c r="A468" t="inlineStr">
        <is>
          <t>Meeker</t>
        </is>
      </c>
      <c r="B468">
        <f>Inputs_State!$B$1</f>
        <v/>
      </c>
      <c r="C468" t="inlineStr">
        <is>
          <t>Interpreter/Language Services</t>
        </is>
      </c>
      <c r="D468" t="n">
        <v>554</v>
      </c>
      <c r="E468">
        <f>IFERROR(VLOOKUP(C468,Weights!$A$2:$B$11,2,FALSE),0.6)</f>
        <v/>
      </c>
      <c r="F468">
        <f>D468*E468</f>
        <v/>
      </c>
    </row>
    <row r="469">
      <c r="A469" t="inlineStr">
        <is>
          <t>Meeker</t>
        </is>
      </c>
      <c r="B469">
        <f>Inputs_State!$B$1</f>
        <v/>
      </c>
      <c r="C469" t="inlineStr">
        <is>
          <t>Safety / High Risk Handling</t>
        </is>
      </c>
      <c r="D469" t="n">
        <v>102</v>
      </c>
      <c r="E469">
        <f>IFERROR(VLOOKUP(C469,Weights!$A$2:$B$11,2,FALSE),0.7)</f>
        <v/>
      </c>
      <c r="F469">
        <f>D469*E469</f>
        <v/>
      </c>
    </row>
    <row r="470">
      <c r="A470" t="inlineStr">
        <is>
          <t>Meeker</t>
        </is>
      </c>
      <c r="B470">
        <f>Inputs_State!$B$1</f>
        <v/>
      </c>
      <c r="C470" t="inlineStr">
        <is>
          <t>Incarceration Coordination</t>
        </is>
      </c>
      <c r="D470" t="n">
        <v>1879</v>
      </c>
      <c r="E470">
        <f>IFERROR(VLOOKUP(C470,Weights!$A$2:$B$11,2,FALSE),0.5)</f>
        <v/>
      </c>
      <c r="F470">
        <f>D470*E470</f>
        <v/>
      </c>
    </row>
    <row r="471">
      <c r="A471" t="inlineStr">
        <is>
          <t>Meeker</t>
        </is>
      </c>
      <c r="B471">
        <f>Inputs_State!$B$1</f>
        <v/>
      </c>
      <c r="C471" t="inlineStr">
        <is>
          <t>Unlocatable / Skip Work</t>
        </is>
      </c>
      <c r="D471" t="n">
        <v>132</v>
      </c>
      <c r="E471">
        <f>IFERROR(VLOOKUP(C471,Weights!$A$2:$B$11,2,FALSE),0.8)</f>
        <v/>
      </c>
      <c r="F471">
        <f>D471*E471</f>
        <v/>
      </c>
    </row>
    <row r="472">
      <c r="A472" t="inlineStr">
        <is>
          <t>Mille Lacs</t>
        </is>
      </c>
      <c r="B472">
        <f>Inputs_State!$B$1</f>
        <v/>
      </c>
      <c r="C472" t="inlineStr">
        <is>
          <t>Standard Case Work</t>
        </is>
      </c>
      <c r="D472" t="n">
        <v>230</v>
      </c>
      <c r="E472">
        <f>IFERROR(VLOOKUP(C472,Weights!$A$2:$B$11,2,FALSE),1)</f>
        <v/>
      </c>
      <c r="F472">
        <f>D472*E472</f>
        <v/>
      </c>
    </row>
    <row r="473">
      <c r="A473" t="inlineStr">
        <is>
          <t>Mille Lacs</t>
        </is>
      </c>
      <c r="B473">
        <f>Inputs_State!$B$1</f>
        <v/>
      </c>
      <c r="C473" t="inlineStr">
        <is>
          <t>Full Locate / Long Locate</t>
        </is>
      </c>
      <c r="D473" t="n">
        <v>418</v>
      </c>
      <c r="E473">
        <f>IFERROR(VLOOKUP(C473,Weights!$A$2:$B$11,2,FALSE),2)</f>
        <v/>
      </c>
      <c r="F473">
        <f>D473*E473</f>
        <v/>
      </c>
    </row>
    <row r="474">
      <c r="A474" t="inlineStr">
        <is>
          <t>Mille Lacs</t>
        </is>
      </c>
      <c r="B474">
        <f>Inputs_State!$B$1</f>
        <v/>
      </c>
      <c r="C474" t="inlineStr">
        <is>
          <t>METS / Interstate Complexity</t>
        </is>
      </c>
      <c r="D474" t="n">
        <v>101</v>
      </c>
      <c r="E474">
        <f>IFERROR(VLOOKUP(C474,Weights!$A$2:$B$11,2,FALSE),1.5)</f>
        <v/>
      </c>
      <c r="F474">
        <f>D474*E474</f>
        <v/>
      </c>
    </row>
    <row r="475">
      <c r="A475" t="inlineStr">
        <is>
          <t>Mille Lacs</t>
        </is>
      </c>
      <c r="B475">
        <f>Inputs_State!$B$1</f>
        <v/>
      </c>
      <c r="C475" t="inlineStr">
        <is>
          <t>Enforcement / R&amp;M Actions</t>
        </is>
      </c>
      <c r="D475" t="n">
        <v>304</v>
      </c>
      <c r="E475">
        <f>IFERROR(VLOOKUP(C475,Weights!$A$2:$B$11,2,FALSE),1.3)</f>
        <v/>
      </c>
      <c r="F475">
        <f>D475*E475</f>
        <v/>
      </c>
    </row>
    <row r="476">
      <c r="A476" t="inlineStr">
        <is>
          <t>Mille Lacs</t>
        </is>
      </c>
      <c r="B476">
        <f>Inputs_State!$B$1</f>
        <v/>
      </c>
      <c r="C476" t="inlineStr">
        <is>
          <t>Customer Contacts - Telephone</t>
        </is>
      </c>
      <c r="D476" t="n">
        <v>2488</v>
      </c>
      <c r="E476">
        <f>IFERROR(VLOOKUP(C476,Weights!$A$2:$B$11,2,FALSE),0.2)</f>
        <v/>
      </c>
      <c r="F476">
        <f>D476*E476</f>
        <v/>
      </c>
    </row>
    <row r="477">
      <c r="A477" t="inlineStr">
        <is>
          <t>Mille Lacs</t>
        </is>
      </c>
      <c r="B477">
        <f>Inputs_State!$B$1</f>
        <v/>
      </c>
      <c r="C477" t="inlineStr">
        <is>
          <t>Customer Contacts - Email/Portal</t>
        </is>
      </c>
      <c r="D477" t="n">
        <v>13080</v>
      </c>
      <c r="E477">
        <f>IFERROR(VLOOKUP(C477,Weights!$A$2:$B$11,2,FALSE),0.15)</f>
        <v/>
      </c>
      <c r="F477">
        <f>D477*E477</f>
        <v/>
      </c>
    </row>
    <row r="478">
      <c r="A478" t="inlineStr">
        <is>
          <t>Mille Lacs</t>
        </is>
      </c>
      <c r="B478">
        <f>Inputs_State!$B$1</f>
        <v/>
      </c>
      <c r="C478" t="inlineStr">
        <is>
          <t>Interpreter/Language Services</t>
        </is>
      </c>
      <c r="D478" t="n">
        <v>1301</v>
      </c>
      <c r="E478">
        <f>IFERROR(VLOOKUP(C478,Weights!$A$2:$B$11,2,FALSE),0.6)</f>
        <v/>
      </c>
      <c r="F478">
        <f>D478*E478</f>
        <v/>
      </c>
    </row>
    <row r="479">
      <c r="A479" t="inlineStr">
        <is>
          <t>Mille Lacs</t>
        </is>
      </c>
      <c r="B479">
        <f>Inputs_State!$B$1</f>
        <v/>
      </c>
      <c r="C479" t="inlineStr">
        <is>
          <t>Safety / High Risk Handling</t>
        </is>
      </c>
      <c r="D479" t="n">
        <v>213</v>
      </c>
      <c r="E479">
        <f>IFERROR(VLOOKUP(C479,Weights!$A$2:$B$11,2,FALSE),0.7)</f>
        <v/>
      </c>
      <c r="F479">
        <f>D479*E479</f>
        <v/>
      </c>
    </row>
    <row r="480">
      <c r="A480" t="inlineStr">
        <is>
          <t>Mille Lacs</t>
        </is>
      </c>
      <c r="B480">
        <f>Inputs_State!$B$1</f>
        <v/>
      </c>
      <c r="C480" t="inlineStr">
        <is>
          <t>Incarceration Coordination</t>
        </is>
      </c>
      <c r="D480" t="n">
        <v>4674</v>
      </c>
      <c r="E480">
        <f>IFERROR(VLOOKUP(C480,Weights!$A$2:$B$11,2,FALSE),0.5)</f>
        <v/>
      </c>
      <c r="F480">
        <f>D480*E480</f>
        <v/>
      </c>
    </row>
    <row r="481">
      <c r="A481" t="inlineStr">
        <is>
          <t>Mille Lacs</t>
        </is>
      </c>
      <c r="B481">
        <f>Inputs_State!$B$1</f>
        <v/>
      </c>
      <c r="C481" t="inlineStr">
        <is>
          <t>Unlocatable / Skip Work</t>
        </is>
      </c>
      <c r="D481" t="n">
        <v>308</v>
      </c>
      <c r="E481">
        <f>IFERROR(VLOOKUP(C481,Weights!$A$2:$B$11,2,FALSE),0.8)</f>
        <v/>
      </c>
      <c r="F481">
        <f>D481*E481</f>
        <v/>
      </c>
    </row>
    <row r="482">
      <c r="A482" t="inlineStr">
        <is>
          <t>Morrison</t>
        </is>
      </c>
      <c r="B482">
        <f>Inputs_State!$B$1</f>
        <v/>
      </c>
      <c r="C482" t="inlineStr">
        <is>
          <t>Standard Case Work</t>
        </is>
      </c>
      <c r="D482" t="n">
        <v>158</v>
      </c>
      <c r="E482">
        <f>IFERROR(VLOOKUP(C482,Weights!$A$2:$B$11,2,FALSE),1)</f>
        <v/>
      </c>
      <c r="F482">
        <f>D482*E482</f>
        <v/>
      </c>
    </row>
    <row r="483">
      <c r="A483" t="inlineStr">
        <is>
          <t>Morrison</t>
        </is>
      </c>
      <c r="B483">
        <f>Inputs_State!$B$1</f>
        <v/>
      </c>
      <c r="C483" t="inlineStr">
        <is>
          <t>Full Locate / Long Locate</t>
        </is>
      </c>
      <c r="D483" t="n">
        <v>312</v>
      </c>
      <c r="E483">
        <f>IFERROR(VLOOKUP(C483,Weights!$A$2:$B$11,2,FALSE),2)</f>
        <v/>
      </c>
      <c r="F483">
        <f>D483*E483</f>
        <v/>
      </c>
    </row>
    <row r="484">
      <c r="A484" t="inlineStr">
        <is>
          <t>Morrison</t>
        </is>
      </c>
      <c r="B484">
        <f>Inputs_State!$B$1</f>
        <v/>
      </c>
      <c r="C484" t="inlineStr">
        <is>
          <t>METS / Interstate Complexity</t>
        </is>
      </c>
      <c r="D484" t="n">
        <v>71</v>
      </c>
      <c r="E484">
        <f>IFERROR(VLOOKUP(C484,Weights!$A$2:$B$11,2,FALSE),1.5)</f>
        <v/>
      </c>
      <c r="F484">
        <f>D484*E484</f>
        <v/>
      </c>
    </row>
    <row r="485">
      <c r="A485" t="inlineStr">
        <is>
          <t>Morrison</t>
        </is>
      </c>
      <c r="B485">
        <f>Inputs_State!$B$1</f>
        <v/>
      </c>
      <c r="C485" t="inlineStr">
        <is>
          <t>Enforcement / R&amp;M Actions</t>
        </is>
      </c>
      <c r="D485" t="n">
        <v>301</v>
      </c>
      <c r="E485">
        <f>IFERROR(VLOOKUP(C485,Weights!$A$2:$B$11,2,FALSE),1.3)</f>
        <v/>
      </c>
      <c r="F485">
        <f>D485*E485</f>
        <v/>
      </c>
    </row>
    <row r="486">
      <c r="A486" t="inlineStr">
        <is>
          <t>Morrison</t>
        </is>
      </c>
      <c r="B486">
        <f>Inputs_State!$B$1</f>
        <v/>
      </c>
      <c r="C486" t="inlineStr">
        <is>
          <t>Customer Contacts - Telephone</t>
        </is>
      </c>
      <c r="D486" t="n">
        <v>1763</v>
      </c>
      <c r="E486">
        <f>IFERROR(VLOOKUP(C486,Weights!$A$2:$B$11,2,FALSE),0.2)</f>
        <v/>
      </c>
      <c r="F486">
        <f>D486*E486</f>
        <v/>
      </c>
    </row>
    <row r="487">
      <c r="A487" t="inlineStr">
        <is>
          <t>Morrison</t>
        </is>
      </c>
      <c r="B487">
        <f>Inputs_State!$B$1</f>
        <v/>
      </c>
      <c r="C487" t="inlineStr">
        <is>
          <t>Customer Contacts - Email/Portal</t>
        </is>
      </c>
      <c r="D487" t="n">
        <v>13348</v>
      </c>
      <c r="E487">
        <f>IFERROR(VLOOKUP(C487,Weights!$A$2:$B$11,2,FALSE),0.15)</f>
        <v/>
      </c>
      <c r="F487">
        <f>D487*E487</f>
        <v/>
      </c>
    </row>
    <row r="488">
      <c r="A488" t="inlineStr">
        <is>
          <t>Morrison</t>
        </is>
      </c>
      <c r="B488">
        <f>Inputs_State!$B$1</f>
        <v/>
      </c>
      <c r="C488" t="inlineStr">
        <is>
          <t>Interpreter/Language Services</t>
        </is>
      </c>
      <c r="D488" t="n">
        <v>987</v>
      </c>
      <c r="E488">
        <f>IFERROR(VLOOKUP(C488,Weights!$A$2:$B$11,2,FALSE),0.6)</f>
        <v/>
      </c>
      <c r="F488">
        <f>D488*E488</f>
        <v/>
      </c>
    </row>
    <row r="489">
      <c r="A489" t="inlineStr">
        <is>
          <t>Morrison</t>
        </is>
      </c>
      <c r="B489">
        <f>Inputs_State!$B$1</f>
        <v/>
      </c>
      <c r="C489" t="inlineStr">
        <is>
          <t>Safety / High Risk Handling</t>
        </is>
      </c>
      <c r="D489" t="n">
        <v>148</v>
      </c>
      <c r="E489">
        <f>IFERROR(VLOOKUP(C489,Weights!$A$2:$B$11,2,FALSE),0.7)</f>
        <v/>
      </c>
      <c r="F489">
        <f>D489*E489</f>
        <v/>
      </c>
    </row>
    <row r="490">
      <c r="A490" t="inlineStr">
        <is>
          <t>Morrison</t>
        </is>
      </c>
      <c r="B490">
        <f>Inputs_State!$B$1</f>
        <v/>
      </c>
      <c r="C490" t="inlineStr">
        <is>
          <t>Incarceration Coordination</t>
        </is>
      </c>
      <c r="D490" t="n">
        <v>3162</v>
      </c>
      <c r="E490">
        <f>IFERROR(VLOOKUP(C490,Weights!$A$2:$B$11,2,FALSE),0.5)</f>
        <v/>
      </c>
      <c r="F490">
        <f>D490*E490</f>
        <v/>
      </c>
    </row>
    <row r="491">
      <c r="A491" t="inlineStr">
        <is>
          <t>Morrison</t>
        </is>
      </c>
      <c r="B491">
        <f>Inputs_State!$B$1</f>
        <v/>
      </c>
      <c r="C491" t="inlineStr">
        <is>
          <t>Unlocatable / Skip Work</t>
        </is>
      </c>
      <c r="D491" t="n">
        <v>251</v>
      </c>
      <c r="E491">
        <f>IFERROR(VLOOKUP(C491,Weights!$A$2:$B$11,2,FALSE),0.8)</f>
        <v/>
      </c>
      <c r="F491">
        <f>D491*E491</f>
        <v/>
      </c>
    </row>
    <row r="492">
      <c r="A492" t="inlineStr">
        <is>
          <t>Mower</t>
        </is>
      </c>
      <c r="B492">
        <f>Inputs_State!$B$1</f>
        <v/>
      </c>
      <c r="C492" t="inlineStr">
        <is>
          <t>Standard Case Work</t>
        </is>
      </c>
      <c r="D492" t="n">
        <v>550</v>
      </c>
      <c r="E492">
        <f>IFERROR(VLOOKUP(C492,Weights!$A$2:$B$11,2,FALSE),1)</f>
        <v/>
      </c>
      <c r="F492">
        <f>D492*E492</f>
        <v/>
      </c>
    </row>
    <row r="493">
      <c r="A493" t="inlineStr">
        <is>
          <t>Mower</t>
        </is>
      </c>
      <c r="B493">
        <f>Inputs_State!$B$1</f>
        <v/>
      </c>
      <c r="C493" t="inlineStr">
        <is>
          <t>Full Locate / Long Locate</t>
        </is>
      </c>
      <c r="D493" t="n">
        <v>921</v>
      </c>
      <c r="E493">
        <f>IFERROR(VLOOKUP(C493,Weights!$A$2:$B$11,2,FALSE),2)</f>
        <v/>
      </c>
      <c r="F493">
        <f>D493*E493</f>
        <v/>
      </c>
    </row>
    <row r="494">
      <c r="A494" t="inlineStr">
        <is>
          <t>Mower</t>
        </is>
      </c>
      <c r="B494">
        <f>Inputs_State!$B$1</f>
        <v/>
      </c>
      <c r="C494" t="inlineStr">
        <is>
          <t>METS / Interstate Complexity</t>
        </is>
      </c>
      <c r="D494" t="n">
        <v>268</v>
      </c>
      <c r="E494">
        <f>IFERROR(VLOOKUP(C494,Weights!$A$2:$B$11,2,FALSE),1.5)</f>
        <v/>
      </c>
      <c r="F494">
        <f>D494*E494</f>
        <v/>
      </c>
    </row>
    <row r="495">
      <c r="A495" t="inlineStr">
        <is>
          <t>Mower</t>
        </is>
      </c>
      <c r="B495">
        <f>Inputs_State!$B$1</f>
        <v/>
      </c>
      <c r="C495" t="inlineStr">
        <is>
          <t>Enforcement / R&amp;M Actions</t>
        </is>
      </c>
      <c r="D495" t="n">
        <v>944</v>
      </c>
      <c r="E495">
        <f>IFERROR(VLOOKUP(C495,Weights!$A$2:$B$11,2,FALSE),1.3)</f>
        <v/>
      </c>
      <c r="F495">
        <f>D495*E495</f>
        <v/>
      </c>
    </row>
    <row r="496">
      <c r="A496" t="inlineStr">
        <is>
          <t>Mower</t>
        </is>
      </c>
      <c r="B496">
        <f>Inputs_State!$B$1</f>
        <v/>
      </c>
      <c r="C496" t="inlineStr">
        <is>
          <t>Customer Contacts - Telephone</t>
        </is>
      </c>
      <c r="D496" t="n">
        <v>6524</v>
      </c>
      <c r="E496">
        <f>IFERROR(VLOOKUP(C496,Weights!$A$2:$B$11,2,FALSE),0.2)</f>
        <v/>
      </c>
      <c r="F496">
        <f>D496*E496</f>
        <v/>
      </c>
    </row>
    <row r="497">
      <c r="A497" t="inlineStr">
        <is>
          <t>Mower</t>
        </is>
      </c>
      <c r="B497">
        <f>Inputs_State!$B$1</f>
        <v/>
      </c>
      <c r="C497" t="inlineStr">
        <is>
          <t>Customer Contacts - Email/Portal</t>
        </is>
      </c>
      <c r="D497" t="n">
        <v>38949</v>
      </c>
      <c r="E497">
        <f>IFERROR(VLOOKUP(C497,Weights!$A$2:$B$11,2,FALSE),0.15)</f>
        <v/>
      </c>
      <c r="F497">
        <f>D497*E497</f>
        <v/>
      </c>
    </row>
    <row r="498">
      <c r="A498" t="inlineStr">
        <is>
          <t>Mower</t>
        </is>
      </c>
      <c r="B498">
        <f>Inputs_State!$B$1</f>
        <v/>
      </c>
      <c r="C498" t="inlineStr">
        <is>
          <t>Interpreter/Language Services</t>
        </is>
      </c>
      <c r="D498" t="n">
        <v>3342</v>
      </c>
      <c r="E498">
        <f>IFERROR(VLOOKUP(C498,Weights!$A$2:$B$11,2,FALSE),0.6)</f>
        <v/>
      </c>
      <c r="F498">
        <f>D498*E498</f>
        <v/>
      </c>
    </row>
    <row r="499">
      <c r="A499" t="inlineStr">
        <is>
          <t>Mower</t>
        </is>
      </c>
      <c r="B499">
        <f>Inputs_State!$B$1</f>
        <v/>
      </c>
      <c r="C499" t="inlineStr">
        <is>
          <t>Safety / High Risk Handling</t>
        </is>
      </c>
      <c r="D499" t="n">
        <v>588</v>
      </c>
      <c r="E499">
        <f>IFERROR(VLOOKUP(C499,Weights!$A$2:$B$11,2,FALSE),0.7)</f>
        <v/>
      </c>
      <c r="F499">
        <f>D499*E499</f>
        <v/>
      </c>
    </row>
    <row r="500">
      <c r="A500" t="inlineStr">
        <is>
          <t>Mower</t>
        </is>
      </c>
      <c r="B500">
        <f>Inputs_State!$B$1</f>
        <v/>
      </c>
      <c r="C500" t="inlineStr">
        <is>
          <t>Incarceration Coordination</t>
        </is>
      </c>
      <c r="D500" t="n">
        <v>10577</v>
      </c>
      <c r="E500">
        <f>IFERROR(VLOOKUP(C500,Weights!$A$2:$B$11,2,FALSE),0.5)</f>
        <v/>
      </c>
      <c r="F500">
        <f>D500*E500</f>
        <v/>
      </c>
    </row>
    <row r="501">
      <c r="A501" t="inlineStr">
        <is>
          <t>Mower</t>
        </is>
      </c>
      <c r="B501">
        <f>Inputs_State!$B$1</f>
        <v/>
      </c>
      <c r="C501" t="inlineStr">
        <is>
          <t>Unlocatable / Skip Work</t>
        </is>
      </c>
      <c r="D501" t="n">
        <v>737</v>
      </c>
      <c r="E501">
        <f>IFERROR(VLOOKUP(C501,Weights!$A$2:$B$11,2,FALSE),0.8)</f>
        <v/>
      </c>
      <c r="F501">
        <f>D501*E501</f>
        <v/>
      </c>
    </row>
    <row r="502">
      <c r="A502" t="inlineStr">
        <is>
          <t>Murray</t>
        </is>
      </c>
      <c r="B502">
        <f>Inputs_State!$B$1</f>
        <v/>
      </c>
      <c r="C502" t="inlineStr">
        <is>
          <t>Standard Case Work</t>
        </is>
      </c>
      <c r="D502" t="n">
        <v>301</v>
      </c>
      <c r="E502">
        <f>IFERROR(VLOOKUP(C502,Weights!$A$2:$B$11,2,FALSE),1)</f>
        <v/>
      </c>
      <c r="F502">
        <f>D502*E502</f>
        <v/>
      </c>
    </row>
    <row r="503">
      <c r="A503" t="inlineStr">
        <is>
          <t>Murray</t>
        </is>
      </c>
      <c r="B503">
        <f>Inputs_State!$B$1</f>
        <v/>
      </c>
      <c r="C503" t="inlineStr">
        <is>
          <t>Full Locate / Long Locate</t>
        </is>
      </c>
      <c r="D503" t="n">
        <v>491</v>
      </c>
      <c r="E503">
        <f>IFERROR(VLOOKUP(C503,Weights!$A$2:$B$11,2,FALSE),2)</f>
        <v/>
      </c>
      <c r="F503">
        <f>D503*E503</f>
        <v/>
      </c>
    </row>
    <row r="504">
      <c r="A504" t="inlineStr">
        <is>
          <t>Murray</t>
        </is>
      </c>
      <c r="B504">
        <f>Inputs_State!$B$1</f>
        <v/>
      </c>
      <c r="C504" t="inlineStr">
        <is>
          <t>METS / Interstate Complexity</t>
        </is>
      </c>
      <c r="D504" t="n">
        <v>111</v>
      </c>
      <c r="E504">
        <f>IFERROR(VLOOKUP(C504,Weights!$A$2:$B$11,2,FALSE),1.5)</f>
        <v/>
      </c>
      <c r="F504">
        <f>D504*E504</f>
        <v/>
      </c>
    </row>
    <row r="505">
      <c r="A505" t="inlineStr">
        <is>
          <t>Murray</t>
        </is>
      </c>
      <c r="B505">
        <f>Inputs_State!$B$1</f>
        <v/>
      </c>
      <c r="C505" t="inlineStr">
        <is>
          <t>Enforcement / R&amp;M Actions</t>
        </is>
      </c>
      <c r="D505" t="n">
        <v>419</v>
      </c>
      <c r="E505">
        <f>IFERROR(VLOOKUP(C505,Weights!$A$2:$B$11,2,FALSE),1.3)</f>
        <v/>
      </c>
      <c r="F505">
        <f>D505*E505</f>
        <v/>
      </c>
    </row>
    <row r="506">
      <c r="A506" t="inlineStr">
        <is>
          <t>Murray</t>
        </is>
      </c>
      <c r="B506">
        <f>Inputs_State!$B$1</f>
        <v/>
      </c>
      <c r="C506" t="inlineStr">
        <is>
          <t>Customer Contacts - Telephone</t>
        </is>
      </c>
      <c r="D506" t="n">
        <v>2781</v>
      </c>
      <c r="E506">
        <f>IFERROR(VLOOKUP(C506,Weights!$A$2:$B$11,2,FALSE),0.2)</f>
        <v/>
      </c>
      <c r="F506">
        <f>D506*E506</f>
        <v/>
      </c>
    </row>
    <row r="507">
      <c r="A507" t="inlineStr">
        <is>
          <t>Murray</t>
        </is>
      </c>
      <c r="B507">
        <f>Inputs_State!$B$1</f>
        <v/>
      </c>
      <c r="C507" t="inlineStr">
        <is>
          <t>Customer Contacts - Email/Portal</t>
        </is>
      </c>
      <c r="D507" t="n">
        <v>17821</v>
      </c>
      <c r="E507">
        <f>IFERROR(VLOOKUP(C507,Weights!$A$2:$B$11,2,FALSE),0.15)</f>
        <v/>
      </c>
      <c r="F507">
        <f>D507*E507</f>
        <v/>
      </c>
    </row>
    <row r="508">
      <c r="A508" t="inlineStr">
        <is>
          <t>Murray</t>
        </is>
      </c>
      <c r="B508">
        <f>Inputs_State!$B$1</f>
        <v/>
      </c>
      <c r="C508" t="inlineStr">
        <is>
          <t>Interpreter/Language Services</t>
        </is>
      </c>
      <c r="D508" t="n">
        <v>1659</v>
      </c>
      <c r="E508">
        <f>IFERROR(VLOOKUP(C508,Weights!$A$2:$B$11,2,FALSE),0.6)</f>
        <v/>
      </c>
      <c r="F508">
        <f>D508*E508</f>
        <v/>
      </c>
    </row>
    <row r="509">
      <c r="A509" t="inlineStr">
        <is>
          <t>Murray</t>
        </is>
      </c>
      <c r="B509">
        <f>Inputs_State!$B$1</f>
        <v/>
      </c>
      <c r="C509" t="inlineStr">
        <is>
          <t>Safety / High Risk Handling</t>
        </is>
      </c>
      <c r="D509" t="n">
        <v>239</v>
      </c>
      <c r="E509">
        <f>IFERROR(VLOOKUP(C509,Weights!$A$2:$B$11,2,FALSE),0.7)</f>
        <v/>
      </c>
      <c r="F509">
        <f>D509*E509</f>
        <v/>
      </c>
    </row>
    <row r="510">
      <c r="A510" t="inlineStr">
        <is>
          <t>Murray</t>
        </is>
      </c>
      <c r="B510">
        <f>Inputs_State!$B$1</f>
        <v/>
      </c>
      <c r="C510" t="inlineStr">
        <is>
          <t>Incarceration Coordination</t>
        </is>
      </c>
      <c r="D510" t="n">
        <v>5801</v>
      </c>
      <c r="E510">
        <f>IFERROR(VLOOKUP(C510,Weights!$A$2:$B$11,2,FALSE),0.5)</f>
        <v/>
      </c>
      <c r="F510">
        <f>D510*E510</f>
        <v/>
      </c>
    </row>
    <row r="511">
      <c r="A511" t="inlineStr">
        <is>
          <t>Murray</t>
        </is>
      </c>
      <c r="B511">
        <f>Inputs_State!$B$1</f>
        <v/>
      </c>
      <c r="C511" t="inlineStr">
        <is>
          <t>Unlocatable / Skip Work</t>
        </is>
      </c>
      <c r="D511" t="n">
        <v>334</v>
      </c>
      <c r="E511">
        <f>IFERROR(VLOOKUP(C511,Weights!$A$2:$B$11,2,FALSE),0.8)</f>
        <v/>
      </c>
      <c r="F511">
        <f>D511*E511</f>
        <v/>
      </c>
    </row>
    <row r="512">
      <c r="A512" t="inlineStr">
        <is>
          <t>Nicollet</t>
        </is>
      </c>
      <c r="B512">
        <f>Inputs_State!$B$1</f>
        <v/>
      </c>
      <c r="C512" t="inlineStr">
        <is>
          <t>Standard Case Work</t>
        </is>
      </c>
      <c r="D512" t="n">
        <v>174</v>
      </c>
      <c r="E512">
        <f>IFERROR(VLOOKUP(C512,Weights!$A$2:$B$11,2,FALSE),1)</f>
        <v/>
      </c>
      <c r="F512">
        <f>D512*E512</f>
        <v/>
      </c>
    </row>
    <row r="513">
      <c r="A513" t="inlineStr">
        <is>
          <t>Nicollet</t>
        </is>
      </c>
      <c r="B513">
        <f>Inputs_State!$B$1</f>
        <v/>
      </c>
      <c r="C513" t="inlineStr">
        <is>
          <t>Full Locate / Long Locate</t>
        </is>
      </c>
      <c r="D513" t="n">
        <v>282</v>
      </c>
      <c r="E513">
        <f>IFERROR(VLOOKUP(C513,Weights!$A$2:$B$11,2,FALSE),2)</f>
        <v/>
      </c>
      <c r="F513">
        <f>D513*E513</f>
        <v/>
      </c>
    </row>
    <row r="514">
      <c r="A514" t="inlineStr">
        <is>
          <t>Nicollet</t>
        </is>
      </c>
      <c r="B514">
        <f>Inputs_State!$B$1</f>
        <v/>
      </c>
      <c r="C514" t="inlineStr">
        <is>
          <t>METS / Interstate Complexity</t>
        </is>
      </c>
      <c r="D514" t="n">
        <v>60</v>
      </c>
      <c r="E514">
        <f>IFERROR(VLOOKUP(C514,Weights!$A$2:$B$11,2,FALSE),1.5)</f>
        <v/>
      </c>
      <c r="F514">
        <f>D514*E514</f>
        <v/>
      </c>
    </row>
    <row r="515">
      <c r="A515" t="inlineStr">
        <is>
          <t>Nicollet</t>
        </is>
      </c>
      <c r="B515">
        <f>Inputs_State!$B$1</f>
        <v/>
      </c>
      <c r="C515" t="inlineStr">
        <is>
          <t>Enforcement / R&amp;M Actions</t>
        </is>
      </c>
      <c r="D515" t="n">
        <v>263</v>
      </c>
      <c r="E515">
        <f>IFERROR(VLOOKUP(C515,Weights!$A$2:$B$11,2,FALSE),1.3)</f>
        <v/>
      </c>
      <c r="F515">
        <f>D515*E515</f>
        <v/>
      </c>
    </row>
    <row r="516">
      <c r="A516" t="inlineStr">
        <is>
          <t>Nicollet</t>
        </is>
      </c>
      <c r="B516">
        <f>Inputs_State!$B$1</f>
        <v/>
      </c>
      <c r="C516" t="inlineStr">
        <is>
          <t>Customer Contacts - Telephone</t>
        </is>
      </c>
      <c r="D516" t="n">
        <v>1594</v>
      </c>
      <c r="E516">
        <f>IFERROR(VLOOKUP(C516,Weights!$A$2:$B$11,2,FALSE),0.2)</f>
        <v/>
      </c>
      <c r="F516">
        <f>D516*E516</f>
        <v/>
      </c>
    </row>
    <row r="517">
      <c r="A517" t="inlineStr">
        <is>
          <t>Nicollet</t>
        </is>
      </c>
      <c r="B517">
        <f>Inputs_State!$B$1</f>
        <v/>
      </c>
      <c r="C517" t="inlineStr">
        <is>
          <t>Customer Contacts - Email/Portal</t>
        </is>
      </c>
      <c r="D517" t="n">
        <v>10830</v>
      </c>
      <c r="E517">
        <f>IFERROR(VLOOKUP(C517,Weights!$A$2:$B$11,2,FALSE),0.15)</f>
        <v/>
      </c>
      <c r="F517">
        <f>D517*E517</f>
        <v/>
      </c>
    </row>
    <row r="518">
      <c r="A518" t="inlineStr">
        <is>
          <t>Nicollet</t>
        </is>
      </c>
      <c r="B518">
        <f>Inputs_State!$B$1</f>
        <v/>
      </c>
      <c r="C518" t="inlineStr">
        <is>
          <t>Interpreter/Language Services</t>
        </is>
      </c>
      <c r="D518" t="n">
        <v>867</v>
      </c>
      <c r="E518">
        <f>IFERROR(VLOOKUP(C518,Weights!$A$2:$B$11,2,FALSE),0.6)</f>
        <v/>
      </c>
      <c r="F518">
        <f>D518*E518</f>
        <v/>
      </c>
    </row>
    <row r="519">
      <c r="A519" t="inlineStr">
        <is>
          <t>Nicollet</t>
        </is>
      </c>
      <c r="B519">
        <f>Inputs_State!$B$1</f>
        <v/>
      </c>
      <c r="C519" t="inlineStr">
        <is>
          <t>Safety / High Risk Handling</t>
        </is>
      </c>
      <c r="D519" t="n">
        <v>138</v>
      </c>
      <c r="E519">
        <f>IFERROR(VLOOKUP(C519,Weights!$A$2:$B$11,2,FALSE),0.7)</f>
        <v/>
      </c>
      <c r="F519">
        <f>D519*E519</f>
        <v/>
      </c>
    </row>
    <row r="520">
      <c r="A520" t="inlineStr">
        <is>
          <t>Nicollet</t>
        </is>
      </c>
      <c r="B520">
        <f>Inputs_State!$B$1</f>
        <v/>
      </c>
      <c r="C520" t="inlineStr">
        <is>
          <t>Incarceration Coordination</t>
        </is>
      </c>
      <c r="D520" t="n">
        <v>2700</v>
      </c>
      <c r="E520">
        <f>IFERROR(VLOOKUP(C520,Weights!$A$2:$B$11,2,FALSE),0.5)</f>
        <v/>
      </c>
      <c r="F520">
        <f>D520*E520</f>
        <v/>
      </c>
    </row>
    <row r="521">
      <c r="A521" t="inlineStr">
        <is>
          <t>Nicollet</t>
        </is>
      </c>
      <c r="B521">
        <f>Inputs_State!$B$1</f>
        <v/>
      </c>
      <c r="C521" t="inlineStr">
        <is>
          <t>Unlocatable / Skip Work</t>
        </is>
      </c>
      <c r="D521" t="n">
        <v>202</v>
      </c>
      <c r="E521">
        <f>IFERROR(VLOOKUP(C521,Weights!$A$2:$B$11,2,FALSE),0.8)</f>
        <v/>
      </c>
      <c r="F521">
        <f>D521*E521</f>
        <v/>
      </c>
    </row>
    <row r="522">
      <c r="A522" t="inlineStr">
        <is>
          <t>Nobles</t>
        </is>
      </c>
      <c r="B522">
        <f>Inputs_State!$B$1</f>
        <v/>
      </c>
      <c r="C522" t="inlineStr">
        <is>
          <t>Standard Case Work</t>
        </is>
      </c>
      <c r="D522" t="n">
        <v>151</v>
      </c>
      <c r="E522">
        <f>IFERROR(VLOOKUP(C522,Weights!$A$2:$B$11,2,FALSE),1)</f>
        <v/>
      </c>
      <c r="F522">
        <f>D522*E522</f>
        <v/>
      </c>
    </row>
    <row r="523">
      <c r="A523" t="inlineStr">
        <is>
          <t>Nobles</t>
        </is>
      </c>
      <c r="B523">
        <f>Inputs_State!$B$1</f>
        <v/>
      </c>
      <c r="C523" t="inlineStr">
        <is>
          <t>Full Locate / Long Locate</t>
        </is>
      </c>
      <c r="D523" t="n">
        <v>217</v>
      </c>
      <c r="E523">
        <f>IFERROR(VLOOKUP(C523,Weights!$A$2:$B$11,2,FALSE),2)</f>
        <v/>
      </c>
      <c r="F523">
        <f>D523*E523</f>
        <v/>
      </c>
    </row>
    <row r="524">
      <c r="A524" t="inlineStr">
        <is>
          <t>Nobles</t>
        </is>
      </c>
      <c r="B524">
        <f>Inputs_State!$B$1</f>
        <v/>
      </c>
      <c r="C524" t="inlineStr">
        <is>
          <t>METS / Interstate Complexity</t>
        </is>
      </c>
      <c r="D524" t="n">
        <v>67</v>
      </c>
      <c r="E524">
        <f>IFERROR(VLOOKUP(C524,Weights!$A$2:$B$11,2,FALSE),1.5)</f>
        <v/>
      </c>
      <c r="F524">
        <f>D524*E524</f>
        <v/>
      </c>
    </row>
    <row r="525">
      <c r="A525" t="inlineStr">
        <is>
          <t>Nobles</t>
        </is>
      </c>
      <c r="B525">
        <f>Inputs_State!$B$1</f>
        <v/>
      </c>
      <c r="C525" t="inlineStr">
        <is>
          <t>Enforcement / R&amp;M Actions</t>
        </is>
      </c>
      <c r="D525" t="n">
        <v>240</v>
      </c>
      <c r="E525">
        <f>IFERROR(VLOOKUP(C525,Weights!$A$2:$B$11,2,FALSE),1.3)</f>
        <v/>
      </c>
      <c r="F525">
        <f>D525*E525</f>
        <v/>
      </c>
    </row>
    <row r="526">
      <c r="A526" t="inlineStr">
        <is>
          <t>Nobles</t>
        </is>
      </c>
      <c r="B526">
        <f>Inputs_State!$B$1</f>
        <v/>
      </c>
      <c r="C526" t="inlineStr">
        <is>
          <t>Customer Contacts - Telephone</t>
        </is>
      </c>
      <c r="D526" t="n">
        <v>1418</v>
      </c>
      <c r="E526">
        <f>IFERROR(VLOOKUP(C526,Weights!$A$2:$B$11,2,FALSE),0.2)</f>
        <v/>
      </c>
      <c r="F526">
        <f>D526*E526</f>
        <v/>
      </c>
    </row>
    <row r="527">
      <c r="A527" t="inlineStr">
        <is>
          <t>Nobles</t>
        </is>
      </c>
      <c r="B527">
        <f>Inputs_State!$B$1</f>
        <v/>
      </c>
      <c r="C527" t="inlineStr">
        <is>
          <t>Customer Contacts - Email/Portal</t>
        </is>
      </c>
      <c r="D527" t="n">
        <v>8891</v>
      </c>
      <c r="E527">
        <f>IFERROR(VLOOKUP(C527,Weights!$A$2:$B$11,2,FALSE),0.15)</f>
        <v/>
      </c>
      <c r="F527">
        <f>D527*E527</f>
        <v/>
      </c>
    </row>
    <row r="528">
      <c r="A528" t="inlineStr">
        <is>
          <t>Nobles</t>
        </is>
      </c>
      <c r="B528">
        <f>Inputs_State!$B$1</f>
        <v/>
      </c>
      <c r="C528" t="inlineStr">
        <is>
          <t>Interpreter/Language Services</t>
        </is>
      </c>
      <c r="D528" t="n">
        <v>833</v>
      </c>
      <c r="E528">
        <f>IFERROR(VLOOKUP(C528,Weights!$A$2:$B$11,2,FALSE),0.6)</f>
        <v/>
      </c>
      <c r="F528">
        <f>D528*E528</f>
        <v/>
      </c>
    </row>
    <row r="529">
      <c r="A529" t="inlineStr">
        <is>
          <t>Nobles</t>
        </is>
      </c>
      <c r="B529">
        <f>Inputs_State!$B$1</f>
        <v/>
      </c>
      <c r="C529" t="inlineStr">
        <is>
          <t>Safety / High Risk Handling</t>
        </is>
      </c>
      <c r="D529" t="n">
        <v>138</v>
      </c>
      <c r="E529">
        <f>IFERROR(VLOOKUP(C529,Weights!$A$2:$B$11,2,FALSE),0.7)</f>
        <v/>
      </c>
      <c r="F529">
        <f>D529*E529</f>
        <v/>
      </c>
    </row>
    <row r="530">
      <c r="A530" t="inlineStr">
        <is>
          <t>Nobles</t>
        </is>
      </c>
      <c r="B530">
        <f>Inputs_State!$B$1</f>
        <v/>
      </c>
      <c r="C530" t="inlineStr">
        <is>
          <t>Incarceration Coordination</t>
        </is>
      </c>
      <c r="D530" t="n">
        <v>2478</v>
      </c>
      <c r="E530">
        <f>IFERROR(VLOOKUP(C530,Weights!$A$2:$B$11,2,FALSE),0.5)</f>
        <v/>
      </c>
      <c r="F530">
        <f>D530*E530</f>
        <v/>
      </c>
    </row>
    <row r="531">
      <c r="A531" t="inlineStr">
        <is>
          <t>Nobles</t>
        </is>
      </c>
      <c r="B531">
        <f>Inputs_State!$B$1</f>
        <v/>
      </c>
      <c r="C531" t="inlineStr">
        <is>
          <t>Unlocatable / Skip Work</t>
        </is>
      </c>
      <c r="D531" t="n">
        <v>185</v>
      </c>
      <c r="E531">
        <f>IFERROR(VLOOKUP(C531,Weights!$A$2:$B$11,2,FALSE),0.8)</f>
        <v/>
      </c>
      <c r="F531">
        <f>D531*E531</f>
        <v/>
      </c>
    </row>
    <row r="532">
      <c r="A532" t="inlineStr">
        <is>
          <t>Norman</t>
        </is>
      </c>
      <c r="B532">
        <f>Inputs_State!$B$1</f>
        <v/>
      </c>
      <c r="C532" t="inlineStr">
        <is>
          <t>Standard Case Work</t>
        </is>
      </c>
      <c r="D532" t="n">
        <v>133</v>
      </c>
      <c r="E532">
        <f>IFERROR(VLOOKUP(C532,Weights!$A$2:$B$11,2,FALSE),1)</f>
        <v/>
      </c>
      <c r="F532">
        <f>D532*E532</f>
        <v/>
      </c>
    </row>
    <row r="533">
      <c r="A533" t="inlineStr">
        <is>
          <t>Norman</t>
        </is>
      </c>
      <c r="B533">
        <f>Inputs_State!$B$1</f>
        <v/>
      </c>
      <c r="C533" t="inlineStr">
        <is>
          <t>Full Locate / Long Locate</t>
        </is>
      </c>
      <c r="D533" t="n">
        <v>191</v>
      </c>
      <c r="E533">
        <f>IFERROR(VLOOKUP(C533,Weights!$A$2:$B$11,2,FALSE),2)</f>
        <v/>
      </c>
      <c r="F533">
        <f>D533*E533</f>
        <v/>
      </c>
    </row>
    <row r="534">
      <c r="A534" t="inlineStr">
        <is>
          <t>Norman</t>
        </is>
      </c>
      <c r="B534">
        <f>Inputs_State!$B$1</f>
        <v/>
      </c>
      <c r="C534" t="inlineStr">
        <is>
          <t>METS / Interstate Complexity</t>
        </is>
      </c>
      <c r="D534" t="n">
        <v>47</v>
      </c>
      <c r="E534">
        <f>IFERROR(VLOOKUP(C534,Weights!$A$2:$B$11,2,FALSE),1.5)</f>
        <v/>
      </c>
      <c r="F534">
        <f>D534*E534</f>
        <v/>
      </c>
    </row>
    <row r="535">
      <c r="A535" t="inlineStr">
        <is>
          <t>Norman</t>
        </is>
      </c>
      <c r="B535">
        <f>Inputs_State!$B$1</f>
        <v/>
      </c>
      <c r="C535" t="inlineStr">
        <is>
          <t>Enforcement / R&amp;M Actions</t>
        </is>
      </c>
      <c r="D535" t="n">
        <v>188</v>
      </c>
      <c r="E535">
        <f>IFERROR(VLOOKUP(C535,Weights!$A$2:$B$11,2,FALSE),1.3)</f>
        <v/>
      </c>
      <c r="F535">
        <f>D535*E535</f>
        <v/>
      </c>
    </row>
    <row r="536">
      <c r="A536" t="inlineStr">
        <is>
          <t>Norman</t>
        </is>
      </c>
      <c r="B536">
        <f>Inputs_State!$B$1</f>
        <v/>
      </c>
      <c r="C536" t="inlineStr">
        <is>
          <t>Customer Contacts - Telephone</t>
        </is>
      </c>
      <c r="D536" t="n">
        <v>1182</v>
      </c>
      <c r="E536">
        <f>IFERROR(VLOOKUP(C536,Weights!$A$2:$B$11,2,FALSE),0.2)</f>
        <v/>
      </c>
      <c r="F536">
        <f>D536*E536</f>
        <v/>
      </c>
    </row>
    <row r="537">
      <c r="A537" t="inlineStr">
        <is>
          <t>Norman</t>
        </is>
      </c>
      <c r="B537">
        <f>Inputs_State!$B$1</f>
        <v/>
      </c>
      <c r="C537" t="inlineStr">
        <is>
          <t>Customer Contacts - Email/Portal</t>
        </is>
      </c>
      <c r="D537" t="n">
        <v>8252</v>
      </c>
      <c r="E537">
        <f>IFERROR(VLOOKUP(C537,Weights!$A$2:$B$11,2,FALSE),0.15)</f>
        <v/>
      </c>
      <c r="F537">
        <f>D537*E537</f>
        <v/>
      </c>
    </row>
    <row r="538">
      <c r="A538" t="inlineStr">
        <is>
          <t>Norman</t>
        </is>
      </c>
      <c r="B538">
        <f>Inputs_State!$B$1</f>
        <v/>
      </c>
      <c r="C538" t="inlineStr">
        <is>
          <t>Interpreter/Language Services</t>
        </is>
      </c>
      <c r="D538" t="n">
        <v>625</v>
      </c>
      <c r="E538">
        <f>IFERROR(VLOOKUP(C538,Weights!$A$2:$B$11,2,FALSE),0.6)</f>
        <v/>
      </c>
      <c r="F538">
        <f>D538*E538</f>
        <v/>
      </c>
    </row>
    <row r="539">
      <c r="A539" t="inlineStr">
        <is>
          <t>Norman</t>
        </is>
      </c>
      <c r="B539">
        <f>Inputs_State!$B$1</f>
        <v/>
      </c>
      <c r="C539" t="inlineStr">
        <is>
          <t>Safety / High Risk Handling</t>
        </is>
      </c>
      <c r="D539" t="n">
        <v>102</v>
      </c>
      <c r="E539">
        <f>IFERROR(VLOOKUP(C539,Weights!$A$2:$B$11,2,FALSE),0.7)</f>
        <v/>
      </c>
      <c r="F539">
        <f>D539*E539</f>
        <v/>
      </c>
    </row>
    <row r="540">
      <c r="A540" t="inlineStr">
        <is>
          <t>Norman</t>
        </is>
      </c>
      <c r="B540">
        <f>Inputs_State!$B$1</f>
        <v/>
      </c>
      <c r="C540" t="inlineStr">
        <is>
          <t>Incarceration Coordination</t>
        </is>
      </c>
      <c r="D540" t="n">
        <v>2098</v>
      </c>
      <c r="E540">
        <f>IFERROR(VLOOKUP(C540,Weights!$A$2:$B$11,2,FALSE),0.5)</f>
        <v/>
      </c>
      <c r="F540">
        <f>D540*E540</f>
        <v/>
      </c>
    </row>
    <row r="541">
      <c r="A541" t="inlineStr">
        <is>
          <t>Norman</t>
        </is>
      </c>
      <c r="B541">
        <f>Inputs_State!$B$1</f>
        <v/>
      </c>
      <c r="C541" t="inlineStr">
        <is>
          <t>Unlocatable / Skip Work</t>
        </is>
      </c>
      <c r="D541" t="n">
        <v>146</v>
      </c>
      <c r="E541">
        <f>IFERROR(VLOOKUP(C541,Weights!$A$2:$B$11,2,FALSE),0.8)</f>
        <v/>
      </c>
      <c r="F541">
        <f>D541*E541</f>
        <v/>
      </c>
    </row>
    <row r="542">
      <c r="A542" t="inlineStr">
        <is>
          <t>Olmsted</t>
        </is>
      </c>
      <c r="B542">
        <f>Inputs_State!$B$1</f>
        <v/>
      </c>
      <c r="C542" t="inlineStr">
        <is>
          <t>Standard Case Work</t>
        </is>
      </c>
      <c r="D542" t="n">
        <v>636</v>
      </c>
      <c r="E542">
        <f>IFERROR(VLOOKUP(C542,Weights!$A$2:$B$11,2,FALSE),1)</f>
        <v/>
      </c>
      <c r="F542">
        <f>D542*E542</f>
        <v/>
      </c>
    </row>
    <row r="543">
      <c r="A543" t="inlineStr">
        <is>
          <t>Olmsted</t>
        </is>
      </c>
      <c r="B543">
        <f>Inputs_State!$B$1</f>
        <v/>
      </c>
      <c r="C543" t="inlineStr">
        <is>
          <t>Full Locate / Long Locate</t>
        </is>
      </c>
      <c r="D543" t="n">
        <v>1358</v>
      </c>
      <c r="E543">
        <f>IFERROR(VLOOKUP(C543,Weights!$A$2:$B$11,2,FALSE),2)</f>
        <v/>
      </c>
      <c r="F543">
        <f>D543*E543</f>
        <v/>
      </c>
    </row>
    <row r="544">
      <c r="A544" t="inlineStr">
        <is>
          <t>Olmsted</t>
        </is>
      </c>
      <c r="B544">
        <f>Inputs_State!$B$1</f>
        <v/>
      </c>
      <c r="C544" t="inlineStr">
        <is>
          <t>METS / Interstate Complexity</t>
        </is>
      </c>
      <c r="D544" t="n">
        <v>361</v>
      </c>
      <c r="E544">
        <f>IFERROR(VLOOKUP(C544,Weights!$A$2:$B$11,2,FALSE),1.5)</f>
        <v/>
      </c>
      <c r="F544">
        <f>D544*E544</f>
        <v/>
      </c>
    </row>
    <row r="545">
      <c r="A545" t="inlineStr">
        <is>
          <t>Olmsted</t>
        </is>
      </c>
      <c r="B545">
        <f>Inputs_State!$B$1</f>
        <v/>
      </c>
      <c r="C545" t="inlineStr">
        <is>
          <t>Enforcement / R&amp;M Actions</t>
        </is>
      </c>
      <c r="D545" t="n">
        <v>992</v>
      </c>
      <c r="E545">
        <f>IFERROR(VLOOKUP(C545,Weights!$A$2:$B$11,2,FALSE),1.3)</f>
        <v/>
      </c>
      <c r="F545">
        <f>D545*E545</f>
        <v/>
      </c>
    </row>
    <row r="546">
      <c r="A546" t="inlineStr">
        <is>
          <t>Olmsted</t>
        </is>
      </c>
      <c r="B546">
        <f>Inputs_State!$B$1</f>
        <v/>
      </c>
      <c r="C546" t="inlineStr">
        <is>
          <t>Customer Contacts - Telephone</t>
        </is>
      </c>
      <c r="D546" t="n">
        <v>6582</v>
      </c>
      <c r="E546">
        <f>IFERROR(VLOOKUP(C546,Weights!$A$2:$B$11,2,FALSE),0.2)</f>
        <v/>
      </c>
      <c r="F546">
        <f>D546*E546</f>
        <v/>
      </c>
    </row>
    <row r="547">
      <c r="A547" t="inlineStr">
        <is>
          <t>Olmsted</t>
        </is>
      </c>
      <c r="B547">
        <f>Inputs_State!$B$1</f>
        <v/>
      </c>
      <c r="C547" t="inlineStr">
        <is>
          <t>Customer Contacts - Email/Portal</t>
        </is>
      </c>
      <c r="D547" t="n">
        <v>45195</v>
      </c>
      <c r="E547">
        <f>IFERROR(VLOOKUP(C547,Weights!$A$2:$B$11,2,FALSE),0.15)</f>
        <v/>
      </c>
      <c r="F547">
        <f>D547*E547</f>
        <v/>
      </c>
    </row>
    <row r="548">
      <c r="A548" t="inlineStr">
        <is>
          <t>Olmsted</t>
        </is>
      </c>
      <c r="B548">
        <f>Inputs_State!$B$1</f>
        <v/>
      </c>
      <c r="C548" t="inlineStr">
        <is>
          <t>Interpreter/Language Services</t>
        </is>
      </c>
      <c r="D548" t="n">
        <v>4436</v>
      </c>
      <c r="E548">
        <f>IFERROR(VLOOKUP(C548,Weights!$A$2:$B$11,2,FALSE),0.6)</f>
        <v/>
      </c>
      <c r="F548">
        <f>D548*E548</f>
        <v/>
      </c>
    </row>
    <row r="549">
      <c r="A549" t="inlineStr">
        <is>
          <t>Olmsted</t>
        </is>
      </c>
      <c r="B549">
        <f>Inputs_State!$B$1</f>
        <v/>
      </c>
      <c r="C549" t="inlineStr">
        <is>
          <t>Safety / High Risk Handling</t>
        </is>
      </c>
      <c r="D549" t="n">
        <v>784</v>
      </c>
      <c r="E549">
        <f>IFERROR(VLOOKUP(C549,Weights!$A$2:$B$11,2,FALSE),0.7)</f>
        <v/>
      </c>
      <c r="F549">
        <f>D549*E549</f>
        <v/>
      </c>
    </row>
    <row r="550">
      <c r="A550" t="inlineStr">
        <is>
          <t>Olmsted</t>
        </is>
      </c>
      <c r="B550">
        <f>Inputs_State!$B$1</f>
        <v/>
      </c>
      <c r="C550" t="inlineStr">
        <is>
          <t>Incarceration Coordination</t>
        </is>
      </c>
      <c r="D550" t="n">
        <v>12136</v>
      </c>
      <c r="E550">
        <f>IFERROR(VLOOKUP(C550,Weights!$A$2:$B$11,2,FALSE),0.5)</f>
        <v/>
      </c>
      <c r="F550">
        <f>D550*E550</f>
        <v/>
      </c>
    </row>
    <row r="551">
      <c r="A551" t="inlineStr">
        <is>
          <t>Olmsted</t>
        </is>
      </c>
      <c r="B551">
        <f>Inputs_State!$B$1</f>
        <v/>
      </c>
      <c r="C551" t="inlineStr">
        <is>
          <t>Unlocatable / Skip Work</t>
        </is>
      </c>
      <c r="D551" t="n">
        <v>878</v>
      </c>
      <c r="E551">
        <f>IFERROR(VLOOKUP(C551,Weights!$A$2:$B$11,2,FALSE),0.8)</f>
        <v/>
      </c>
      <c r="F551">
        <f>D551*E551</f>
        <v/>
      </c>
    </row>
    <row r="552">
      <c r="A552" t="inlineStr">
        <is>
          <t>Otter Tail</t>
        </is>
      </c>
      <c r="B552">
        <f>Inputs_State!$B$1</f>
        <v/>
      </c>
      <c r="C552" t="inlineStr">
        <is>
          <t>Standard Case Work</t>
        </is>
      </c>
      <c r="D552" t="n">
        <v>630</v>
      </c>
      <c r="E552">
        <f>IFERROR(VLOOKUP(C552,Weights!$A$2:$B$11,2,FALSE),1)</f>
        <v/>
      </c>
      <c r="F552">
        <f>D552*E552</f>
        <v/>
      </c>
    </row>
    <row r="553">
      <c r="A553" t="inlineStr">
        <is>
          <t>Otter Tail</t>
        </is>
      </c>
      <c r="B553">
        <f>Inputs_State!$B$1</f>
        <v/>
      </c>
      <c r="C553" t="inlineStr">
        <is>
          <t>Full Locate / Long Locate</t>
        </is>
      </c>
      <c r="D553" t="n">
        <v>961</v>
      </c>
      <c r="E553">
        <f>IFERROR(VLOOKUP(C553,Weights!$A$2:$B$11,2,FALSE),2)</f>
        <v/>
      </c>
      <c r="F553">
        <f>D553*E553</f>
        <v/>
      </c>
    </row>
    <row r="554">
      <c r="A554" t="inlineStr">
        <is>
          <t>Otter Tail</t>
        </is>
      </c>
      <c r="B554">
        <f>Inputs_State!$B$1</f>
        <v/>
      </c>
      <c r="C554" t="inlineStr">
        <is>
          <t>METS / Interstate Complexity</t>
        </is>
      </c>
      <c r="D554" t="n">
        <v>312</v>
      </c>
      <c r="E554">
        <f>IFERROR(VLOOKUP(C554,Weights!$A$2:$B$11,2,FALSE),1.5)</f>
        <v/>
      </c>
      <c r="F554">
        <f>D554*E554</f>
        <v/>
      </c>
    </row>
    <row r="555">
      <c r="A555" t="inlineStr">
        <is>
          <t>Otter Tail</t>
        </is>
      </c>
      <c r="B555">
        <f>Inputs_State!$B$1</f>
        <v/>
      </c>
      <c r="C555" t="inlineStr">
        <is>
          <t>Enforcement / R&amp;M Actions</t>
        </is>
      </c>
      <c r="D555" t="n">
        <v>951</v>
      </c>
      <c r="E555">
        <f>IFERROR(VLOOKUP(C555,Weights!$A$2:$B$11,2,FALSE),1.3)</f>
        <v/>
      </c>
      <c r="F555">
        <f>D555*E555</f>
        <v/>
      </c>
    </row>
    <row r="556">
      <c r="A556" t="inlineStr">
        <is>
          <t>Otter Tail</t>
        </is>
      </c>
      <c r="B556">
        <f>Inputs_State!$B$1</f>
        <v/>
      </c>
      <c r="C556" t="inlineStr">
        <is>
          <t>Customer Contacts - Telephone</t>
        </is>
      </c>
      <c r="D556" t="n">
        <v>5708</v>
      </c>
      <c r="E556">
        <f>IFERROR(VLOOKUP(C556,Weights!$A$2:$B$11,2,FALSE),0.2)</f>
        <v/>
      </c>
      <c r="F556">
        <f>D556*E556</f>
        <v/>
      </c>
    </row>
    <row r="557">
      <c r="A557" t="inlineStr">
        <is>
          <t>Otter Tail</t>
        </is>
      </c>
      <c r="B557">
        <f>Inputs_State!$B$1</f>
        <v/>
      </c>
      <c r="C557" t="inlineStr">
        <is>
          <t>Customer Contacts - Email/Portal</t>
        </is>
      </c>
      <c r="D557" t="n">
        <v>46207</v>
      </c>
      <c r="E557">
        <f>IFERROR(VLOOKUP(C557,Weights!$A$2:$B$11,2,FALSE),0.15)</f>
        <v/>
      </c>
      <c r="F557">
        <f>D557*E557</f>
        <v/>
      </c>
    </row>
    <row r="558">
      <c r="A558" t="inlineStr">
        <is>
          <t>Otter Tail</t>
        </is>
      </c>
      <c r="B558">
        <f>Inputs_State!$B$1</f>
        <v/>
      </c>
      <c r="C558" t="inlineStr">
        <is>
          <t>Interpreter/Language Services</t>
        </is>
      </c>
      <c r="D558" t="n">
        <v>3856</v>
      </c>
      <c r="E558">
        <f>IFERROR(VLOOKUP(C558,Weights!$A$2:$B$11,2,FALSE),0.6)</f>
        <v/>
      </c>
      <c r="F558">
        <f>D558*E558</f>
        <v/>
      </c>
    </row>
    <row r="559">
      <c r="A559" t="inlineStr">
        <is>
          <t>Otter Tail</t>
        </is>
      </c>
      <c r="B559">
        <f>Inputs_State!$B$1</f>
        <v/>
      </c>
      <c r="C559" t="inlineStr">
        <is>
          <t>Safety / High Risk Handling</t>
        </is>
      </c>
      <c r="D559" t="n">
        <v>550</v>
      </c>
      <c r="E559">
        <f>IFERROR(VLOOKUP(C559,Weights!$A$2:$B$11,2,FALSE),0.7)</f>
        <v/>
      </c>
      <c r="F559">
        <f>D559*E559</f>
        <v/>
      </c>
    </row>
    <row r="560">
      <c r="A560" t="inlineStr">
        <is>
          <t>Otter Tail</t>
        </is>
      </c>
      <c r="B560">
        <f>Inputs_State!$B$1</f>
        <v/>
      </c>
      <c r="C560" t="inlineStr">
        <is>
          <t>Incarceration Coordination</t>
        </is>
      </c>
      <c r="D560" t="n">
        <v>13172</v>
      </c>
      <c r="E560">
        <f>IFERROR(VLOOKUP(C560,Weights!$A$2:$B$11,2,FALSE),0.5)</f>
        <v/>
      </c>
      <c r="F560">
        <f>D560*E560</f>
        <v/>
      </c>
    </row>
    <row r="561">
      <c r="A561" t="inlineStr">
        <is>
          <t>Otter Tail</t>
        </is>
      </c>
      <c r="B561">
        <f>Inputs_State!$B$1</f>
        <v/>
      </c>
      <c r="C561" t="inlineStr">
        <is>
          <t>Unlocatable / Skip Work</t>
        </is>
      </c>
      <c r="D561" t="n">
        <v>781</v>
      </c>
      <c r="E561">
        <f>IFERROR(VLOOKUP(C561,Weights!$A$2:$B$11,2,FALSE),0.8)</f>
        <v/>
      </c>
      <c r="F561">
        <f>D561*E561</f>
        <v/>
      </c>
    </row>
    <row r="562">
      <c r="A562" t="inlineStr">
        <is>
          <t>Pennington</t>
        </is>
      </c>
      <c r="B562">
        <f>Inputs_State!$B$1</f>
        <v/>
      </c>
      <c r="C562" t="inlineStr">
        <is>
          <t>Standard Case Work</t>
        </is>
      </c>
      <c r="D562" t="n">
        <v>144</v>
      </c>
      <c r="E562">
        <f>IFERROR(VLOOKUP(C562,Weights!$A$2:$B$11,2,FALSE),1)</f>
        <v/>
      </c>
      <c r="F562">
        <f>D562*E562</f>
        <v/>
      </c>
    </row>
    <row r="563">
      <c r="A563" t="inlineStr">
        <is>
          <t>Pennington</t>
        </is>
      </c>
      <c r="B563">
        <f>Inputs_State!$B$1</f>
        <v/>
      </c>
      <c r="C563" t="inlineStr">
        <is>
          <t>Full Locate / Long Locate</t>
        </is>
      </c>
      <c r="D563" t="n">
        <v>205</v>
      </c>
      <c r="E563">
        <f>IFERROR(VLOOKUP(C563,Weights!$A$2:$B$11,2,FALSE),2)</f>
        <v/>
      </c>
      <c r="F563">
        <f>D563*E563</f>
        <v/>
      </c>
    </row>
    <row r="564">
      <c r="A564" t="inlineStr">
        <is>
          <t>Pennington</t>
        </is>
      </c>
      <c r="B564">
        <f>Inputs_State!$B$1</f>
        <v/>
      </c>
      <c r="C564" t="inlineStr">
        <is>
          <t>METS / Interstate Complexity</t>
        </is>
      </c>
      <c r="D564" t="n">
        <v>59</v>
      </c>
      <c r="E564">
        <f>IFERROR(VLOOKUP(C564,Weights!$A$2:$B$11,2,FALSE),1.5)</f>
        <v/>
      </c>
      <c r="F564">
        <f>D564*E564</f>
        <v/>
      </c>
    </row>
    <row r="565">
      <c r="A565" t="inlineStr">
        <is>
          <t>Pennington</t>
        </is>
      </c>
      <c r="B565">
        <f>Inputs_State!$B$1</f>
        <v/>
      </c>
      <c r="C565" t="inlineStr">
        <is>
          <t>Enforcement / R&amp;M Actions</t>
        </is>
      </c>
      <c r="D565" t="n">
        <v>199</v>
      </c>
      <c r="E565">
        <f>IFERROR(VLOOKUP(C565,Weights!$A$2:$B$11,2,FALSE),1.3)</f>
        <v/>
      </c>
      <c r="F565">
        <f>D565*E565</f>
        <v/>
      </c>
    </row>
    <row r="566">
      <c r="A566" t="inlineStr">
        <is>
          <t>Pennington</t>
        </is>
      </c>
      <c r="B566">
        <f>Inputs_State!$B$1</f>
        <v/>
      </c>
      <c r="C566" t="inlineStr">
        <is>
          <t>Customer Contacts - Telephone</t>
        </is>
      </c>
      <c r="D566" t="n">
        <v>1213</v>
      </c>
      <c r="E566">
        <f>IFERROR(VLOOKUP(C566,Weights!$A$2:$B$11,2,FALSE),0.2)</f>
        <v/>
      </c>
      <c r="F566">
        <f>D566*E566</f>
        <v/>
      </c>
    </row>
    <row r="567">
      <c r="A567" t="inlineStr">
        <is>
          <t>Pennington</t>
        </is>
      </c>
      <c r="B567">
        <f>Inputs_State!$B$1</f>
        <v/>
      </c>
      <c r="C567" t="inlineStr">
        <is>
          <t>Customer Contacts - Email/Portal</t>
        </is>
      </c>
      <c r="D567" t="n">
        <v>9242</v>
      </c>
      <c r="E567">
        <f>IFERROR(VLOOKUP(C567,Weights!$A$2:$B$11,2,FALSE),0.15)</f>
        <v/>
      </c>
      <c r="F567">
        <f>D567*E567</f>
        <v/>
      </c>
    </row>
    <row r="568">
      <c r="A568" t="inlineStr">
        <is>
          <t>Pennington</t>
        </is>
      </c>
      <c r="B568">
        <f>Inputs_State!$B$1</f>
        <v/>
      </c>
      <c r="C568" t="inlineStr">
        <is>
          <t>Interpreter/Language Services</t>
        </is>
      </c>
      <c r="D568" t="n">
        <v>720</v>
      </c>
      <c r="E568">
        <f>IFERROR(VLOOKUP(C568,Weights!$A$2:$B$11,2,FALSE),0.6)</f>
        <v/>
      </c>
      <c r="F568">
        <f>D568*E568</f>
        <v/>
      </c>
    </row>
    <row r="569">
      <c r="A569" t="inlineStr">
        <is>
          <t>Pennington</t>
        </is>
      </c>
      <c r="B569">
        <f>Inputs_State!$B$1</f>
        <v/>
      </c>
      <c r="C569" t="inlineStr">
        <is>
          <t>Safety / High Risk Handling</t>
        </is>
      </c>
      <c r="D569" t="n">
        <v>118</v>
      </c>
      <c r="E569">
        <f>IFERROR(VLOOKUP(C569,Weights!$A$2:$B$11,2,FALSE),0.7)</f>
        <v/>
      </c>
      <c r="F569">
        <f>D569*E569</f>
        <v/>
      </c>
    </row>
    <row r="570">
      <c r="A570" t="inlineStr">
        <is>
          <t>Pennington</t>
        </is>
      </c>
      <c r="B570">
        <f>Inputs_State!$B$1</f>
        <v/>
      </c>
      <c r="C570" t="inlineStr">
        <is>
          <t>Incarceration Coordination</t>
        </is>
      </c>
      <c r="D570" t="n">
        <v>2641</v>
      </c>
      <c r="E570">
        <f>IFERROR(VLOOKUP(C570,Weights!$A$2:$B$11,2,FALSE),0.5)</f>
        <v/>
      </c>
      <c r="F570">
        <f>D570*E570</f>
        <v/>
      </c>
    </row>
    <row r="571">
      <c r="A571" t="inlineStr">
        <is>
          <t>Pennington</t>
        </is>
      </c>
      <c r="B571">
        <f>Inputs_State!$B$1</f>
        <v/>
      </c>
      <c r="C571" t="inlineStr">
        <is>
          <t>Unlocatable / Skip Work</t>
        </is>
      </c>
      <c r="D571" t="n">
        <v>163</v>
      </c>
      <c r="E571">
        <f>IFERROR(VLOOKUP(C571,Weights!$A$2:$B$11,2,FALSE),0.8)</f>
        <v/>
      </c>
      <c r="F571">
        <f>D571*E571</f>
        <v/>
      </c>
    </row>
    <row r="572">
      <c r="A572" t="inlineStr">
        <is>
          <t>Pine</t>
        </is>
      </c>
      <c r="B572">
        <f>Inputs_State!$B$1</f>
        <v/>
      </c>
      <c r="C572" t="inlineStr">
        <is>
          <t>Standard Case Work</t>
        </is>
      </c>
      <c r="D572" t="n">
        <v>101</v>
      </c>
      <c r="E572">
        <f>IFERROR(VLOOKUP(C572,Weights!$A$2:$B$11,2,FALSE),1)</f>
        <v/>
      </c>
      <c r="F572">
        <f>D572*E572</f>
        <v/>
      </c>
    </row>
    <row r="573">
      <c r="A573" t="inlineStr">
        <is>
          <t>Pine</t>
        </is>
      </c>
      <c r="B573">
        <f>Inputs_State!$B$1</f>
        <v/>
      </c>
      <c r="C573" t="inlineStr">
        <is>
          <t>Full Locate / Long Locate</t>
        </is>
      </c>
      <c r="D573" t="n">
        <v>169</v>
      </c>
      <c r="E573">
        <f>IFERROR(VLOOKUP(C573,Weights!$A$2:$B$11,2,FALSE),2)</f>
        <v/>
      </c>
      <c r="F573">
        <f>D573*E573</f>
        <v/>
      </c>
    </row>
    <row r="574">
      <c r="A574" t="inlineStr">
        <is>
          <t>Pine</t>
        </is>
      </c>
      <c r="B574">
        <f>Inputs_State!$B$1</f>
        <v/>
      </c>
      <c r="C574" t="inlineStr">
        <is>
          <t>METS / Interstate Complexity</t>
        </is>
      </c>
      <c r="D574" t="n">
        <v>38</v>
      </c>
      <c r="E574">
        <f>IFERROR(VLOOKUP(C574,Weights!$A$2:$B$11,2,FALSE),1.5)</f>
        <v/>
      </c>
      <c r="F574">
        <f>D574*E574</f>
        <v/>
      </c>
    </row>
    <row r="575">
      <c r="A575" t="inlineStr">
        <is>
          <t>Pine</t>
        </is>
      </c>
      <c r="B575">
        <f>Inputs_State!$B$1</f>
        <v/>
      </c>
      <c r="C575" t="inlineStr">
        <is>
          <t>Enforcement / R&amp;M Actions</t>
        </is>
      </c>
      <c r="D575" t="n">
        <v>154</v>
      </c>
      <c r="E575">
        <f>IFERROR(VLOOKUP(C575,Weights!$A$2:$B$11,2,FALSE),1.3)</f>
        <v/>
      </c>
      <c r="F575">
        <f>D575*E575</f>
        <v/>
      </c>
    </row>
    <row r="576">
      <c r="A576" t="inlineStr">
        <is>
          <t>Pine</t>
        </is>
      </c>
      <c r="B576">
        <f>Inputs_State!$B$1</f>
        <v/>
      </c>
      <c r="C576" t="inlineStr">
        <is>
          <t>Customer Contacts - Telephone</t>
        </is>
      </c>
      <c r="D576" t="n">
        <v>850</v>
      </c>
      <c r="E576">
        <f>IFERROR(VLOOKUP(C576,Weights!$A$2:$B$11,2,FALSE),0.2)</f>
        <v/>
      </c>
      <c r="F576">
        <f>D576*E576</f>
        <v/>
      </c>
    </row>
    <row r="577">
      <c r="A577" t="inlineStr">
        <is>
          <t>Pine</t>
        </is>
      </c>
      <c r="B577">
        <f>Inputs_State!$B$1</f>
        <v/>
      </c>
      <c r="C577" t="inlineStr">
        <is>
          <t>Customer Contacts - Email/Portal</t>
        </is>
      </c>
      <c r="D577" t="n">
        <v>6490</v>
      </c>
      <c r="E577">
        <f>IFERROR(VLOOKUP(C577,Weights!$A$2:$B$11,2,FALSE),0.15)</f>
        <v/>
      </c>
      <c r="F577">
        <f>D577*E577</f>
        <v/>
      </c>
    </row>
    <row r="578">
      <c r="A578" t="inlineStr">
        <is>
          <t>Pine</t>
        </is>
      </c>
      <c r="B578">
        <f>Inputs_State!$B$1</f>
        <v/>
      </c>
      <c r="C578" t="inlineStr">
        <is>
          <t>Interpreter/Language Services</t>
        </is>
      </c>
      <c r="D578" t="n">
        <v>459</v>
      </c>
      <c r="E578">
        <f>IFERROR(VLOOKUP(C578,Weights!$A$2:$B$11,2,FALSE),0.6)</f>
        <v/>
      </c>
      <c r="F578">
        <f>D578*E578</f>
        <v/>
      </c>
    </row>
    <row r="579">
      <c r="A579" t="inlineStr">
        <is>
          <t>Pine</t>
        </is>
      </c>
      <c r="B579">
        <f>Inputs_State!$B$1</f>
        <v/>
      </c>
      <c r="C579" t="inlineStr">
        <is>
          <t>Safety / High Risk Handling</t>
        </is>
      </c>
      <c r="D579" t="n">
        <v>85</v>
      </c>
      <c r="E579">
        <f>IFERROR(VLOOKUP(C579,Weights!$A$2:$B$11,2,FALSE),0.7)</f>
        <v/>
      </c>
      <c r="F579">
        <f>D579*E579</f>
        <v/>
      </c>
    </row>
    <row r="580">
      <c r="A580" t="inlineStr">
        <is>
          <t>Pine</t>
        </is>
      </c>
      <c r="B580">
        <f>Inputs_State!$B$1</f>
        <v/>
      </c>
      <c r="C580" t="inlineStr">
        <is>
          <t>Incarceration Coordination</t>
        </is>
      </c>
      <c r="D580" t="n">
        <v>1632</v>
      </c>
      <c r="E580">
        <f>IFERROR(VLOOKUP(C580,Weights!$A$2:$B$11,2,FALSE),0.5)</f>
        <v/>
      </c>
      <c r="F580">
        <f>D580*E580</f>
        <v/>
      </c>
    </row>
    <row r="581">
      <c r="A581" t="inlineStr">
        <is>
          <t>Pine</t>
        </is>
      </c>
      <c r="B581">
        <f>Inputs_State!$B$1</f>
        <v/>
      </c>
      <c r="C581" t="inlineStr">
        <is>
          <t>Unlocatable / Skip Work</t>
        </is>
      </c>
      <c r="D581" t="n">
        <v>121</v>
      </c>
      <c r="E581">
        <f>IFERROR(VLOOKUP(C581,Weights!$A$2:$B$11,2,FALSE),0.8)</f>
        <v/>
      </c>
      <c r="F581">
        <f>D581*E581</f>
        <v/>
      </c>
    </row>
    <row r="582">
      <c r="A582" t="inlineStr">
        <is>
          <t>Pipestone</t>
        </is>
      </c>
      <c r="B582">
        <f>Inputs_State!$B$1</f>
        <v/>
      </c>
      <c r="C582" t="inlineStr">
        <is>
          <t>Standard Case Work</t>
        </is>
      </c>
      <c r="D582" t="n">
        <v>252</v>
      </c>
      <c r="E582">
        <f>IFERROR(VLOOKUP(C582,Weights!$A$2:$B$11,2,FALSE),1)</f>
        <v/>
      </c>
      <c r="F582">
        <f>D582*E582</f>
        <v/>
      </c>
    </row>
    <row r="583">
      <c r="A583" t="inlineStr">
        <is>
          <t>Pipestone</t>
        </is>
      </c>
      <c r="B583">
        <f>Inputs_State!$B$1</f>
        <v/>
      </c>
      <c r="C583" t="inlineStr">
        <is>
          <t>Full Locate / Long Locate</t>
        </is>
      </c>
      <c r="D583" t="n">
        <v>397</v>
      </c>
      <c r="E583">
        <f>IFERROR(VLOOKUP(C583,Weights!$A$2:$B$11,2,FALSE),2)</f>
        <v/>
      </c>
      <c r="F583">
        <f>D583*E583</f>
        <v/>
      </c>
    </row>
    <row r="584">
      <c r="A584" t="inlineStr">
        <is>
          <t>Pipestone</t>
        </is>
      </c>
      <c r="B584">
        <f>Inputs_State!$B$1</f>
        <v/>
      </c>
      <c r="C584" t="inlineStr">
        <is>
          <t>METS / Interstate Complexity</t>
        </is>
      </c>
      <c r="D584" t="n">
        <v>89</v>
      </c>
      <c r="E584">
        <f>IFERROR(VLOOKUP(C584,Weights!$A$2:$B$11,2,FALSE),1.5)</f>
        <v/>
      </c>
      <c r="F584">
        <f>D584*E584</f>
        <v/>
      </c>
    </row>
    <row r="585">
      <c r="A585" t="inlineStr">
        <is>
          <t>Pipestone</t>
        </is>
      </c>
      <c r="B585">
        <f>Inputs_State!$B$1</f>
        <v/>
      </c>
      <c r="C585" t="inlineStr">
        <is>
          <t>Enforcement / R&amp;M Actions</t>
        </is>
      </c>
      <c r="D585" t="n">
        <v>325</v>
      </c>
      <c r="E585">
        <f>IFERROR(VLOOKUP(C585,Weights!$A$2:$B$11,2,FALSE),1.3)</f>
        <v/>
      </c>
      <c r="F585">
        <f>D585*E585</f>
        <v/>
      </c>
    </row>
    <row r="586">
      <c r="A586" t="inlineStr">
        <is>
          <t>Pipestone</t>
        </is>
      </c>
      <c r="B586">
        <f>Inputs_State!$B$1</f>
        <v/>
      </c>
      <c r="C586" t="inlineStr">
        <is>
          <t>Customer Contacts - Telephone</t>
        </is>
      </c>
      <c r="D586" t="n">
        <v>2036</v>
      </c>
      <c r="E586">
        <f>IFERROR(VLOOKUP(C586,Weights!$A$2:$B$11,2,FALSE),0.2)</f>
        <v/>
      </c>
      <c r="F586">
        <f>D586*E586</f>
        <v/>
      </c>
    </row>
    <row r="587">
      <c r="A587" t="inlineStr">
        <is>
          <t>Pipestone</t>
        </is>
      </c>
      <c r="B587">
        <f>Inputs_State!$B$1</f>
        <v/>
      </c>
      <c r="C587" t="inlineStr">
        <is>
          <t>Customer Contacts - Email/Portal</t>
        </is>
      </c>
      <c r="D587" t="n">
        <v>16599</v>
      </c>
      <c r="E587">
        <f>IFERROR(VLOOKUP(C587,Weights!$A$2:$B$11,2,FALSE),0.15)</f>
        <v/>
      </c>
      <c r="F587">
        <f>D587*E587</f>
        <v/>
      </c>
    </row>
    <row r="588">
      <c r="A588" t="inlineStr">
        <is>
          <t>Pipestone</t>
        </is>
      </c>
      <c r="B588">
        <f>Inputs_State!$B$1</f>
        <v/>
      </c>
      <c r="C588" t="inlineStr">
        <is>
          <t>Interpreter/Language Services</t>
        </is>
      </c>
      <c r="D588" t="n">
        <v>1289</v>
      </c>
      <c r="E588">
        <f>IFERROR(VLOOKUP(C588,Weights!$A$2:$B$11,2,FALSE),0.6)</f>
        <v/>
      </c>
      <c r="F588">
        <f>D588*E588</f>
        <v/>
      </c>
    </row>
    <row r="589">
      <c r="A589" t="inlineStr">
        <is>
          <t>Pipestone</t>
        </is>
      </c>
      <c r="B589">
        <f>Inputs_State!$B$1</f>
        <v/>
      </c>
      <c r="C589" t="inlineStr">
        <is>
          <t>Safety / High Risk Handling</t>
        </is>
      </c>
      <c r="D589" t="n">
        <v>240</v>
      </c>
      <c r="E589">
        <f>IFERROR(VLOOKUP(C589,Weights!$A$2:$B$11,2,FALSE),0.7)</f>
        <v/>
      </c>
      <c r="F589">
        <f>D589*E589</f>
        <v/>
      </c>
    </row>
    <row r="590">
      <c r="A590" t="inlineStr">
        <is>
          <t>Pipestone</t>
        </is>
      </c>
      <c r="B590">
        <f>Inputs_State!$B$1</f>
        <v/>
      </c>
      <c r="C590" t="inlineStr">
        <is>
          <t>Incarceration Coordination</t>
        </is>
      </c>
      <c r="D590" t="n">
        <v>4741</v>
      </c>
      <c r="E590">
        <f>IFERROR(VLOOKUP(C590,Weights!$A$2:$B$11,2,FALSE),0.5)</f>
        <v/>
      </c>
      <c r="F590">
        <f>D590*E590</f>
        <v/>
      </c>
    </row>
    <row r="591">
      <c r="A591" t="inlineStr">
        <is>
          <t>Pipestone</t>
        </is>
      </c>
      <c r="B591">
        <f>Inputs_State!$B$1</f>
        <v/>
      </c>
      <c r="C591" t="inlineStr">
        <is>
          <t>Unlocatable / Skip Work</t>
        </is>
      </c>
      <c r="D591" t="n">
        <v>267</v>
      </c>
      <c r="E591">
        <f>IFERROR(VLOOKUP(C591,Weights!$A$2:$B$11,2,FALSE),0.8)</f>
        <v/>
      </c>
      <c r="F591">
        <f>D591*E591</f>
        <v/>
      </c>
    </row>
    <row r="592">
      <c r="A592" t="inlineStr">
        <is>
          <t>Polk</t>
        </is>
      </c>
      <c r="B592">
        <f>Inputs_State!$B$1</f>
        <v/>
      </c>
      <c r="C592" t="inlineStr">
        <is>
          <t>Standard Case Work</t>
        </is>
      </c>
      <c r="D592" t="n">
        <v>289</v>
      </c>
      <c r="E592">
        <f>IFERROR(VLOOKUP(C592,Weights!$A$2:$B$11,2,FALSE),1)</f>
        <v/>
      </c>
      <c r="F592">
        <f>D592*E592</f>
        <v/>
      </c>
    </row>
    <row r="593">
      <c r="A593" t="inlineStr">
        <is>
          <t>Polk</t>
        </is>
      </c>
      <c r="B593">
        <f>Inputs_State!$B$1</f>
        <v/>
      </c>
      <c r="C593" t="inlineStr">
        <is>
          <t>Full Locate / Long Locate</t>
        </is>
      </c>
      <c r="D593" t="n">
        <v>451</v>
      </c>
      <c r="E593">
        <f>IFERROR(VLOOKUP(C593,Weights!$A$2:$B$11,2,FALSE),2)</f>
        <v/>
      </c>
      <c r="F593">
        <f>D593*E593</f>
        <v/>
      </c>
    </row>
    <row r="594">
      <c r="A594" t="inlineStr">
        <is>
          <t>Polk</t>
        </is>
      </c>
      <c r="B594">
        <f>Inputs_State!$B$1</f>
        <v/>
      </c>
      <c r="C594" t="inlineStr">
        <is>
          <t>METS / Interstate Complexity</t>
        </is>
      </c>
      <c r="D594" t="n">
        <v>123</v>
      </c>
      <c r="E594">
        <f>IFERROR(VLOOKUP(C594,Weights!$A$2:$B$11,2,FALSE),1.5)</f>
        <v/>
      </c>
      <c r="F594">
        <f>D594*E594</f>
        <v/>
      </c>
    </row>
    <row r="595">
      <c r="A595" t="inlineStr">
        <is>
          <t>Polk</t>
        </is>
      </c>
      <c r="B595">
        <f>Inputs_State!$B$1</f>
        <v/>
      </c>
      <c r="C595" t="inlineStr">
        <is>
          <t>Enforcement / R&amp;M Actions</t>
        </is>
      </c>
      <c r="D595" t="n">
        <v>522</v>
      </c>
      <c r="E595">
        <f>IFERROR(VLOOKUP(C595,Weights!$A$2:$B$11,2,FALSE),1.3)</f>
        <v/>
      </c>
      <c r="F595">
        <f>D595*E595</f>
        <v/>
      </c>
    </row>
    <row r="596">
      <c r="A596" t="inlineStr">
        <is>
          <t>Polk</t>
        </is>
      </c>
      <c r="B596">
        <f>Inputs_State!$B$1</f>
        <v/>
      </c>
      <c r="C596" t="inlineStr">
        <is>
          <t>Customer Contacts - Telephone</t>
        </is>
      </c>
      <c r="D596" t="n">
        <v>2818</v>
      </c>
      <c r="E596">
        <f>IFERROR(VLOOKUP(C596,Weights!$A$2:$B$11,2,FALSE),0.2)</f>
        <v/>
      </c>
      <c r="F596">
        <f>D596*E596</f>
        <v/>
      </c>
    </row>
    <row r="597">
      <c r="A597" t="inlineStr">
        <is>
          <t>Polk</t>
        </is>
      </c>
      <c r="B597">
        <f>Inputs_State!$B$1</f>
        <v/>
      </c>
      <c r="C597" t="inlineStr">
        <is>
          <t>Customer Contacts - Email/Portal</t>
        </is>
      </c>
      <c r="D597" t="n">
        <v>21751</v>
      </c>
      <c r="E597">
        <f>IFERROR(VLOOKUP(C597,Weights!$A$2:$B$11,2,FALSE),0.15)</f>
        <v/>
      </c>
      <c r="F597">
        <f>D597*E597</f>
        <v/>
      </c>
    </row>
    <row r="598">
      <c r="A598" t="inlineStr">
        <is>
          <t>Polk</t>
        </is>
      </c>
      <c r="B598">
        <f>Inputs_State!$B$1</f>
        <v/>
      </c>
      <c r="C598" t="inlineStr">
        <is>
          <t>Interpreter/Language Services</t>
        </is>
      </c>
      <c r="D598" t="n">
        <v>1905</v>
      </c>
      <c r="E598">
        <f>IFERROR(VLOOKUP(C598,Weights!$A$2:$B$11,2,FALSE),0.6)</f>
        <v/>
      </c>
      <c r="F598">
        <f>D598*E598</f>
        <v/>
      </c>
    </row>
    <row r="599">
      <c r="A599" t="inlineStr">
        <is>
          <t>Polk</t>
        </is>
      </c>
      <c r="B599">
        <f>Inputs_State!$B$1</f>
        <v/>
      </c>
      <c r="C599" t="inlineStr">
        <is>
          <t>Safety / High Risk Handling</t>
        </is>
      </c>
      <c r="D599" t="n">
        <v>284</v>
      </c>
      <c r="E599">
        <f>IFERROR(VLOOKUP(C599,Weights!$A$2:$B$11,2,FALSE),0.7)</f>
        <v/>
      </c>
      <c r="F599">
        <f>D599*E599</f>
        <v/>
      </c>
    </row>
    <row r="600">
      <c r="A600" t="inlineStr">
        <is>
          <t>Polk</t>
        </is>
      </c>
      <c r="B600">
        <f>Inputs_State!$B$1</f>
        <v/>
      </c>
      <c r="C600" t="inlineStr">
        <is>
          <t>Incarceration Coordination</t>
        </is>
      </c>
      <c r="D600" t="n">
        <v>5539</v>
      </c>
      <c r="E600">
        <f>IFERROR(VLOOKUP(C600,Weights!$A$2:$B$11,2,FALSE),0.5)</f>
        <v/>
      </c>
      <c r="F600">
        <f>D600*E600</f>
        <v/>
      </c>
    </row>
    <row r="601">
      <c r="A601" t="inlineStr">
        <is>
          <t>Polk</t>
        </is>
      </c>
      <c r="B601">
        <f>Inputs_State!$B$1</f>
        <v/>
      </c>
      <c r="C601" t="inlineStr">
        <is>
          <t>Unlocatable / Skip Work</t>
        </is>
      </c>
      <c r="D601" t="n">
        <v>324</v>
      </c>
      <c r="E601">
        <f>IFERROR(VLOOKUP(C601,Weights!$A$2:$B$11,2,FALSE),0.8)</f>
        <v/>
      </c>
      <c r="F601">
        <f>D601*E601</f>
        <v/>
      </c>
    </row>
    <row r="602">
      <c r="A602" t="inlineStr">
        <is>
          <t>Pope</t>
        </is>
      </c>
      <c r="B602">
        <f>Inputs_State!$B$1</f>
        <v/>
      </c>
      <c r="C602" t="inlineStr">
        <is>
          <t>Standard Case Work</t>
        </is>
      </c>
      <c r="D602" t="n">
        <v>258</v>
      </c>
      <c r="E602">
        <f>IFERROR(VLOOKUP(C602,Weights!$A$2:$B$11,2,FALSE),1)</f>
        <v/>
      </c>
      <c r="F602">
        <f>D602*E602</f>
        <v/>
      </c>
    </row>
    <row r="603">
      <c r="A603" t="inlineStr">
        <is>
          <t>Pope</t>
        </is>
      </c>
      <c r="B603">
        <f>Inputs_State!$B$1</f>
        <v/>
      </c>
      <c r="C603" t="inlineStr">
        <is>
          <t>Full Locate / Long Locate</t>
        </is>
      </c>
      <c r="D603" t="n">
        <v>472</v>
      </c>
      <c r="E603">
        <f>IFERROR(VLOOKUP(C603,Weights!$A$2:$B$11,2,FALSE),2)</f>
        <v/>
      </c>
      <c r="F603">
        <f>D603*E603</f>
        <v/>
      </c>
    </row>
    <row r="604">
      <c r="A604" t="inlineStr">
        <is>
          <t>Pope</t>
        </is>
      </c>
      <c r="B604">
        <f>Inputs_State!$B$1</f>
        <v/>
      </c>
      <c r="C604" t="inlineStr">
        <is>
          <t>METS / Interstate Complexity</t>
        </is>
      </c>
      <c r="D604" t="n">
        <v>124</v>
      </c>
      <c r="E604">
        <f>IFERROR(VLOOKUP(C604,Weights!$A$2:$B$11,2,FALSE),1.5)</f>
        <v/>
      </c>
      <c r="F604">
        <f>D604*E604</f>
        <v/>
      </c>
    </row>
    <row r="605">
      <c r="A605" t="inlineStr">
        <is>
          <t>Pope</t>
        </is>
      </c>
      <c r="B605">
        <f>Inputs_State!$B$1</f>
        <v/>
      </c>
      <c r="C605" t="inlineStr">
        <is>
          <t>Enforcement / R&amp;M Actions</t>
        </is>
      </c>
      <c r="D605" t="n">
        <v>350</v>
      </c>
      <c r="E605">
        <f>IFERROR(VLOOKUP(C605,Weights!$A$2:$B$11,2,FALSE),1.3)</f>
        <v/>
      </c>
      <c r="F605">
        <f>D605*E605</f>
        <v/>
      </c>
    </row>
    <row r="606">
      <c r="A606" t="inlineStr">
        <is>
          <t>Pope</t>
        </is>
      </c>
      <c r="B606">
        <f>Inputs_State!$B$1</f>
        <v/>
      </c>
      <c r="C606" t="inlineStr">
        <is>
          <t>Customer Contacts - Telephone</t>
        </is>
      </c>
      <c r="D606" t="n">
        <v>2470</v>
      </c>
      <c r="E606">
        <f>IFERROR(VLOOKUP(C606,Weights!$A$2:$B$11,2,FALSE),0.2)</f>
        <v/>
      </c>
      <c r="F606">
        <f>D606*E606</f>
        <v/>
      </c>
    </row>
    <row r="607">
      <c r="A607" t="inlineStr">
        <is>
          <t>Pope</t>
        </is>
      </c>
      <c r="B607">
        <f>Inputs_State!$B$1</f>
        <v/>
      </c>
      <c r="C607" t="inlineStr">
        <is>
          <t>Customer Contacts - Email/Portal</t>
        </is>
      </c>
      <c r="D607" t="n">
        <v>14252</v>
      </c>
      <c r="E607">
        <f>IFERROR(VLOOKUP(C607,Weights!$A$2:$B$11,2,FALSE),0.15)</f>
        <v/>
      </c>
      <c r="F607">
        <f>D607*E607</f>
        <v/>
      </c>
    </row>
    <row r="608">
      <c r="A608" t="inlineStr">
        <is>
          <t>Pope</t>
        </is>
      </c>
      <c r="B608">
        <f>Inputs_State!$B$1</f>
        <v/>
      </c>
      <c r="C608" t="inlineStr">
        <is>
          <t>Interpreter/Language Services</t>
        </is>
      </c>
      <c r="D608" t="n">
        <v>1177</v>
      </c>
      <c r="E608">
        <f>IFERROR(VLOOKUP(C608,Weights!$A$2:$B$11,2,FALSE),0.6)</f>
        <v/>
      </c>
      <c r="F608">
        <f>D608*E608</f>
        <v/>
      </c>
    </row>
    <row r="609">
      <c r="A609" t="inlineStr">
        <is>
          <t>Pope</t>
        </is>
      </c>
      <c r="B609">
        <f>Inputs_State!$B$1</f>
        <v/>
      </c>
      <c r="C609" t="inlineStr">
        <is>
          <t>Safety / High Risk Handling</t>
        </is>
      </c>
      <c r="D609" t="n">
        <v>259</v>
      </c>
      <c r="E609">
        <f>IFERROR(VLOOKUP(C609,Weights!$A$2:$B$11,2,FALSE),0.7)</f>
        <v/>
      </c>
      <c r="F609">
        <f>D609*E609</f>
        <v/>
      </c>
    </row>
    <row r="610">
      <c r="A610" t="inlineStr">
        <is>
          <t>Pope</t>
        </is>
      </c>
      <c r="B610">
        <f>Inputs_State!$B$1</f>
        <v/>
      </c>
      <c r="C610" t="inlineStr">
        <is>
          <t>Incarceration Coordination</t>
        </is>
      </c>
      <c r="D610" t="n">
        <v>4435</v>
      </c>
      <c r="E610">
        <f>IFERROR(VLOOKUP(C610,Weights!$A$2:$B$11,2,FALSE),0.5)</f>
        <v/>
      </c>
      <c r="F610">
        <f>D610*E610</f>
        <v/>
      </c>
    </row>
    <row r="611">
      <c r="A611" t="inlineStr">
        <is>
          <t>Pope</t>
        </is>
      </c>
      <c r="B611">
        <f>Inputs_State!$B$1</f>
        <v/>
      </c>
      <c r="C611" t="inlineStr">
        <is>
          <t>Unlocatable / Skip Work</t>
        </is>
      </c>
      <c r="D611" t="n">
        <v>336</v>
      </c>
      <c r="E611">
        <f>IFERROR(VLOOKUP(C611,Weights!$A$2:$B$11,2,FALSE),0.8)</f>
        <v/>
      </c>
      <c r="F611">
        <f>D611*E611</f>
        <v/>
      </c>
    </row>
    <row r="612">
      <c r="A612" t="inlineStr">
        <is>
          <t>Ramsey</t>
        </is>
      </c>
      <c r="B612">
        <f>Inputs_State!$B$1</f>
        <v/>
      </c>
      <c r="C612" t="inlineStr">
        <is>
          <t>Standard Case Work</t>
        </is>
      </c>
      <c r="D612" t="n">
        <v>789</v>
      </c>
      <c r="E612">
        <f>IFERROR(VLOOKUP(C612,Weights!$A$2:$B$11,2,FALSE),1)</f>
        <v/>
      </c>
      <c r="F612">
        <f>D612*E612</f>
        <v/>
      </c>
    </row>
    <row r="613">
      <c r="A613" t="inlineStr">
        <is>
          <t>Ramsey</t>
        </is>
      </c>
      <c r="B613">
        <f>Inputs_State!$B$1</f>
        <v/>
      </c>
      <c r="C613" t="inlineStr">
        <is>
          <t>Full Locate / Long Locate</t>
        </is>
      </c>
      <c r="D613" t="n">
        <v>1594</v>
      </c>
      <c r="E613">
        <f>IFERROR(VLOOKUP(C613,Weights!$A$2:$B$11,2,FALSE),2)</f>
        <v/>
      </c>
      <c r="F613">
        <f>D613*E613</f>
        <v/>
      </c>
    </row>
    <row r="614">
      <c r="A614" t="inlineStr">
        <is>
          <t>Ramsey</t>
        </is>
      </c>
      <c r="B614">
        <f>Inputs_State!$B$1</f>
        <v/>
      </c>
      <c r="C614" t="inlineStr">
        <is>
          <t>METS / Interstate Complexity</t>
        </is>
      </c>
      <c r="D614" t="n">
        <v>395</v>
      </c>
      <c r="E614">
        <f>IFERROR(VLOOKUP(C614,Weights!$A$2:$B$11,2,FALSE),1.5)</f>
        <v/>
      </c>
      <c r="F614">
        <f>D614*E614</f>
        <v/>
      </c>
    </row>
    <row r="615">
      <c r="A615" t="inlineStr">
        <is>
          <t>Ramsey</t>
        </is>
      </c>
      <c r="B615">
        <f>Inputs_State!$B$1</f>
        <v/>
      </c>
      <c r="C615" t="inlineStr">
        <is>
          <t>Enforcement / R&amp;M Actions</t>
        </is>
      </c>
      <c r="D615" t="n">
        <v>1527</v>
      </c>
      <c r="E615">
        <f>IFERROR(VLOOKUP(C615,Weights!$A$2:$B$11,2,FALSE),1.3)</f>
        <v/>
      </c>
      <c r="F615">
        <f>D615*E615</f>
        <v/>
      </c>
    </row>
    <row r="616">
      <c r="A616" t="inlineStr">
        <is>
          <t>Ramsey</t>
        </is>
      </c>
      <c r="B616">
        <f>Inputs_State!$B$1</f>
        <v/>
      </c>
      <c r="C616" t="inlineStr">
        <is>
          <t>Customer Contacts - Telephone</t>
        </is>
      </c>
      <c r="D616" t="n">
        <v>8453</v>
      </c>
      <c r="E616">
        <f>IFERROR(VLOOKUP(C616,Weights!$A$2:$B$11,2,FALSE),0.2)</f>
        <v/>
      </c>
      <c r="F616">
        <f>D616*E616</f>
        <v/>
      </c>
    </row>
    <row r="617">
      <c r="A617" t="inlineStr">
        <is>
          <t>Ramsey</t>
        </is>
      </c>
      <c r="B617">
        <f>Inputs_State!$B$1</f>
        <v/>
      </c>
      <c r="C617" t="inlineStr">
        <is>
          <t>Customer Contacts - Email/Portal</t>
        </is>
      </c>
      <c r="D617" t="n">
        <v>53660</v>
      </c>
      <c r="E617">
        <f>IFERROR(VLOOKUP(C617,Weights!$A$2:$B$11,2,FALSE),0.15)</f>
        <v/>
      </c>
      <c r="F617">
        <f>D617*E617</f>
        <v/>
      </c>
    </row>
    <row r="618">
      <c r="A618" t="inlineStr">
        <is>
          <t>Ramsey</t>
        </is>
      </c>
      <c r="B618">
        <f>Inputs_State!$B$1</f>
        <v/>
      </c>
      <c r="C618" t="inlineStr">
        <is>
          <t>Interpreter/Language Services</t>
        </is>
      </c>
      <c r="D618" t="n">
        <v>5327</v>
      </c>
      <c r="E618">
        <f>IFERROR(VLOOKUP(C618,Weights!$A$2:$B$11,2,FALSE),0.6)</f>
        <v/>
      </c>
      <c r="F618">
        <f>D618*E618</f>
        <v/>
      </c>
    </row>
    <row r="619">
      <c r="A619" t="inlineStr">
        <is>
          <t>Ramsey</t>
        </is>
      </c>
      <c r="B619">
        <f>Inputs_State!$B$1</f>
        <v/>
      </c>
      <c r="C619" t="inlineStr">
        <is>
          <t>Safety / High Risk Handling</t>
        </is>
      </c>
      <c r="D619" t="n">
        <v>732</v>
      </c>
      <c r="E619">
        <f>IFERROR(VLOOKUP(C619,Weights!$A$2:$B$11,2,FALSE),0.7)</f>
        <v/>
      </c>
      <c r="F619">
        <f>D619*E619</f>
        <v/>
      </c>
    </row>
    <row r="620">
      <c r="A620" t="inlineStr">
        <is>
          <t>Ramsey</t>
        </is>
      </c>
      <c r="B620">
        <f>Inputs_State!$B$1</f>
        <v/>
      </c>
      <c r="C620" t="inlineStr">
        <is>
          <t>Incarceration Coordination</t>
        </is>
      </c>
      <c r="D620" t="n">
        <v>15031</v>
      </c>
      <c r="E620">
        <f>IFERROR(VLOOKUP(C620,Weights!$A$2:$B$11,2,FALSE),0.5)</f>
        <v/>
      </c>
      <c r="F620">
        <f>D620*E620</f>
        <v/>
      </c>
    </row>
    <row r="621">
      <c r="A621" t="inlineStr">
        <is>
          <t>Ramsey</t>
        </is>
      </c>
      <c r="B621">
        <f>Inputs_State!$B$1</f>
        <v/>
      </c>
      <c r="C621" t="inlineStr">
        <is>
          <t>Unlocatable / Skip Work</t>
        </is>
      </c>
      <c r="D621" t="n">
        <v>1046</v>
      </c>
      <c r="E621">
        <f>IFERROR(VLOOKUP(C621,Weights!$A$2:$B$11,2,FALSE),0.8)</f>
        <v/>
      </c>
      <c r="F621">
        <f>D621*E621</f>
        <v/>
      </c>
    </row>
    <row r="622">
      <c r="A622" t="inlineStr">
        <is>
          <t>Red Lake</t>
        </is>
      </c>
      <c r="B622">
        <f>Inputs_State!$B$1</f>
        <v/>
      </c>
      <c r="C622" t="inlineStr">
        <is>
          <t>Standard Case Work</t>
        </is>
      </c>
      <c r="D622" t="n">
        <v>245</v>
      </c>
      <c r="E622">
        <f>IFERROR(VLOOKUP(C622,Weights!$A$2:$B$11,2,FALSE),1)</f>
        <v/>
      </c>
      <c r="F622">
        <f>D622*E622</f>
        <v/>
      </c>
    </row>
    <row r="623">
      <c r="A623" t="inlineStr">
        <is>
          <t>Red Lake</t>
        </is>
      </c>
      <c r="B623">
        <f>Inputs_State!$B$1</f>
        <v/>
      </c>
      <c r="C623" t="inlineStr">
        <is>
          <t>Full Locate / Long Locate</t>
        </is>
      </c>
      <c r="D623" t="n">
        <v>422</v>
      </c>
      <c r="E623">
        <f>IFERROR(VLOOKUP(C623,Weights!$A$2:$B$11,2,FALSE),2)</f>
        <v/>
      </c>
      <c r="F623">
        <f>D623*E623</f>
        <v/>
      </c>
    </row>
    <row r="624">
      <c r="A624" t="inlineStr">
        <is>
          <t>Red Lake</t>
        </is>
      </c>
      <c r="B624">
        <f>Inputs_State!$B$1</f>
        <v/>
      </c>
      <c r="C624" t="inlineStr">
        <is>
          <t>METS / Interstate Complexity</t>
        </is>
      </c>
      <c r="D624" t="n">
        <v>105</v>
      </c>
      <c r="E624">
        <f>IFERROR(VLOOKUP(C624,Weights!$A$2:$B$11,2,FALSE),1.5)</f>
        <v/>
      </c>
      <c r="F624">
        <f>D624*E624</f>
        <v/>
      </c>
    </row>
    <row r="625">
      <c r="A625" t="inlineStr">
        <is>
          <t>Red Lake</t>
        </is>
      </c>
      <c r="B625">
        <f>Inputs_State!$B$1</f>
        <v/>
      </c>
      <c r="C625" t="inlineStr">
        <is>
          <t>Enforcement / R&amp;M Actions</t>
        </is>
      </c>
      <c r="D625" t="n">
        <v>412</v>
      </c>
      <c r="E625">
        <f>IFERROR(VLOOKUP(C625,Weights!$A$2:$B$11,2,FALSE),1.3)</f>
        <v/>
      </c>
      <c r="F625">
        <f>D625*E625</f>
        <v/>
      </c>
    </row>
    <row r="626">
      <c r="A626" t="inlineStr">
        <is>
          <t>Red Lake</t>
        </is>
      </c>
      <c r="B626">
        <f>Inputs_State!$B$1</f>
        <v/>
      </c>
      <c r="C626" t="inlineStr">
        <is>
          <t>Customer Contacts - Telephone</t>
        </is>
      </c>
      <c r="D626" t="n">
        <v>2546</v>
      </c>
      <c r="E626">
        <f>IFERROR(VLOOKUP(C626,Weights!$A$2:$B$11,2,FALSE),0.2)</f>
        <v/>
      </c>
      <c r="F626">
        <f>D626*E626</f>
        <v/>
      </c>
    </row>
    <row r="627">
      <c r="A627" t="inlineStr">
        <is>
          <t>Red Lake</t>
        </is>
      </c>
      <c r="B627">
        <f>Inputs_State!$B$1</f>
        <v/>
      </c>
      <c r="C627" t="inlineStr">
        <is>
          <t>Customer Contacts - Email/Portal</t>
        </is>
      </c>
      <c r="D627" t="n">
        <v>18413</v>
      </c>
      <c r="E627">
        <f>IFERROR(VLOOKUP(C627,Weights!$A$2:$B$11,2,FALSE),0.15)</f>
        <v/>
      </c>
      <c r="F627">
        <f>D627*E627</f>
        <v/>
      </c>
    </row>
    <row r="628">
      <c r="A628" t="inlineStr">
        <is>
          <t>Red Lake</t>
        </is>
      </c>
      <c r="B628">
        <f>Inputs_State!$B$1</f>
        <v/>
      </c>
      <c r="C628" t="inlineStr">
        <is>
          <t>Interpreter/Language Services</t>
        </is>
      </c>
      <c r="D628" t="n">
        <v>1306</v>
      </c>
      <c r="E628">
        <f>IFERROR(VLOOKUP(C628,Weights!$A$2:$B$11,2,FALSE),0.6)</f>
        <v/>
      </c>
      <c r="F628">
        <f>D628*E628</f>
        <v/>
      </c>
    </row>
    <row r="629">
      <c r="A629" t="inlineStr">
        <is>
          <t>Red Lake</t>
        </is>
      </c>
      <c r="B629">
        <f>Inputs_State!$B$1</f>
        <v/>
      </c>
      <c r="C629" t="inlineStr">
        <is>
          <t>Safety / High Risk Handling</t>
        </is>
      </c>
      <c r="D629" t="n">
        <v>207</v>
      </c>
      <c r="E629">
        <f>IFERROR(VLOOKUP(C629,Weights!$A$2:$B$11,2,FALSE),0.7)</f>
        <v/>
      </c>
      <c r="F629">
        <f>D629*E629</f>
        <v/>
      </c>
    </row>
    <row r="630">
      <c r="A630" t="inlineStr">
        <is>
          <t>Red Lake</t>
        </is>
      </c>
      <c r="B630">
        <f>Inputs_State!$B$1</f>
        <v/>
      </c>
      <c r="C630" t="inlineStr">
        <is>
          <t>Incarceration Coordination</t>
        </is>
      </c>
      <c r="D630" t="n">
        <v>4138</v>
      </c>
      <c r="E630">
        <f>IFERROR(VLOOKUP(C630,Weights!$A$2:$B$11,2,FALSE),0.5)</f>
        <v/>
      </c>
      <c r="F630">
        <f>D630*E630</f>
        <v/>
      </c>
    </row>
    <row r="631">
      <c r="A631" t="inlineStr">
        <is>
          <t>Red Lake</t>
        </is>
      </c>
      <c r="B631">
        <f>Inputs_State!$B$1</f>
        <v/>
      </c>
      <c r="C631" t="inlineStr">
        <is>
          <t>Unlocatable / Skip Work</t>
        </is>
      </c>
      <c r="D631" t="n">
        <v>341</v>
      </c>
      <c r="E631">
        <f>IFERROR(VLOOKUP(C631,Weights!$A$2:$B$11,2,FALSE),0.8)</f>
        <v/>
      </c>
      <c r="F631">
        <f>D631*E631</f>
        <v/>
      </c>
    </row>
    <row r="632">
      <c r="A632" t="inlineStr">
        <is>
          <t>Redwood</t>
        </is>
      </c>
      <c r="B632">
        <f>Inputs_State!$B$1</f>
        <v/>
      </c>
      <c r="C632" t="inlineStr">
        <is>
          <t>Standard Case Work</t>
        </is>
      </c>
      <c r="D632" t="n">
        <v>151</v>
      </c>
      <c r="E632">
        <f>IFERROR(VLOOKUP(C632,Weights!$A$2:$B$11,2,FALSE),1)</f>
        <v/>
      </c>
      <c r="F632">
        <f>D632*E632</f>
        <v/>
      </c>
    </row>
    <row r="633">
      <c r="A633" t="inlineStr">
        <is>
          <t>Redwood</t>
        </is>
      </c>
      <c r="B633">
        <f>Inputs_State!$B$1</f>
        <v/>
      </c>
      <c r="C633" t="inlineStr">
        <is>
          <t>Full Locate / Long Locate</t>
        </is>
      </c>
      <c r="D633" t="n">
        <v>265</v>
      </c>
      <c r="E633">
        <f>IFERROR(VLOOKUP(C633,Weights!$A$2:$B$11,2,FALSE),2)</f>
        <v/>
      </c>
      <c r="F633">
        <f>D633*E633</f>
        <v/>
      </c>
    </row>
    <row r="634">
      <c r="A634" t="inlineStr">
        <is>
          <t>Redwood</t>
        </is>
      </c>
      <c r="B634">
        <f>Inputs_State!$B$1</f>
        <v/>
      </c>
      <c r="C634" t="inlineStr">
        <is>
          <t>METS / Interstate Complexity</t>
        </is>
      </c>
      <c r="D634" t="n">
        <v>63</v>
      </c>
      <c r="E634">
        <f>IFERROR(VLOOKUP(C634,Weights!$A$2:$B$11,2,FALSE),1.5)</f>
        <v/>
      </c>
      <c r="F634">
        <f>D634*E634</f>
        <v/>
      </c>
    </row>
    <row r="635">
      <c r="A635" t="inlineStr">
        <is>
          <t>Redwood</t>
        </is>
      </c>
      <c r="B635">
        <f>Inputs_State!$B$1</f>
        <v/>
      </c>
      <c r="C635" t="inlineStr">
        <is>
          <t>Enforcement / R&amp;M Actions</t>
        </is>
      </c>
      <c r="D635" t="n">
        <v>266</v>
      </c>
      <c r="E635">
        <f>IFERROR(VLOOKUP(C635,Weights!$A$2:$B$11,2,FALSE),1.3)</f>
        <v/>
      </c>
      <c r="F635">
        <f>D635*E635</f>
        <v/>
      </c>
    </row>
    <row r="636">
      <c r="A636" t="inlineStr">
        <is>
          <t>Redwood</t>
        </is>
      </c>
      <c r="B636">
        <f>Inputs_State!$B$1</f>
        <v/>
      </c>
      <c r="C636" t="inlineStr">
        <is>
          <t>Customer Contacts - Telephone</t>
        </is>
      </c>
      <c r="D636" t="n">
        <v>1363</v>
      </c>
      <c r="E636">
        <f>IFERROR(VLOOKUP(C636,Weights!$A$2:$B$11,2,FALSE),0.2)</f>
        <v/>
      </c>
      <c r="F636">
        <f>D636*E636</f>
        <v/>
      </c>
    </row>
    <row r="637">
      <c r="A637" t="inlineStr">
        <is>
          <t>Redwood</t>
        </is>
      </c>
      <c r="B637">
        <f>Inputs_State!$B$1</f>
        <v/>
      </c>
      <c r="C637" t="inlineStr">
        <is>
          <t>Customer Contacts - Email/Portal</t>
        </is>
      </c>
      <c r="D637" t="n">
        <v>10153</v>
      </c>
      <c r="E637">
        <f>IFERROR(VLOOKUP(C637,Weights!$A$2:$B$11,2,FALSE),0.15)</f>
        <v/>
      </c>
      <c r="F637">
        <f>D637*E637</f>
        <v/>
      </c>
    </row>
    <row r="638">
      <c r="A638" t="inlineStr">
        <is>
          <t>Redwood</t>
        </is>
      </c>
      <c r="B638">
        <f>Inputs_State!$B$1</f>
        <v/>
      </c>
      <c r="C638" t="inlineStr">
        <is>
          <t>Interpreter/Language Services</t>
        </is>
      </c>
      <c r="D638" t="n">
        <v>861</v>
      </c>
      <c r="E638">
        <f>IFERROR(VLOOKUP(C638,Weights!$A$2:$B$11,2,FALSE),0.6)</f>
        <v/>
      </c>
      <c r="F638">
        <f>D638*E638</f>
        <v/>
      </c>
    </row>
    <row r="639">
      <c r="A639" t="inlineStr">
        <is>
          <t>Redwood</t>
        </is>
      </c>
      <c r="B639">
        <f>Inputs_State!$B$1</f>
        <v/>
      </c>
      <c r="C639" t="inlineStr">
        <is>
          <t>Safety / High Risk Handling</t>
        </is>
      </c>
      <c r="D639" t="n">
        <v>131</v>
      </c>
      <c r="E639">
        <f>IFERROR(VLOOKUP(C639,Weights!$A$2:$B$11,2,FALSE),0.7)</f>
        <v/>
      </c>
      <c r="F639">
        <f>D639*E639</f>
        <v/>
      </c>
    </row>
    <row r="640">
      <c r="A640" t="inlineStr">
        <is>
          <t>Redwood</t>
        </is>
      </c>
      <c r="B640">
        <f>Inputs_State!$B$1</f>
        <v/>
      </c>
      <c r="C640" t="inlineStr">
        <is>
          <t>Incarceration Coordination</t>
        </is>
      </c>
      <c r="D640" t="n">
        <v>2462</v>
      </c>
      <c r="E640">
        <f>IFERROR(VLOOKUP(C640,Weights!$A$2:$B$11,2,FALSE),0.5)</f>
        <v/>
      </c>
      <c r="F640">
        <f>D640*E640</f>
        <v/>
      </c>
    </row>
    <row r="641">
      <c r="A641" t="inlineStr">
        <is>
          <t>Redwood</t>
        </is>
      </c>
      <c r="B641">
        <f>Inputs_State!$B$1</f>
        <v/>
      </c>
      <c r="C641" t="inlineStr">
        <is>
          <t>Unlocatable / Skip Work</t>
        </is>
      </c>
      <c r="D641" t="n">
        <v>199</v>
      </c>
      <c r="E641">
        <f>IFERROR(VLOOKUP(C641,Weights!$A$2:$B$11,2,FALSE),0.8)</f>
        <v/>
      </c>
      <c r="F641">
        <f>D641*E641</f>
        <v/>
      </c>
    </row>
    <row r="642">
      <c r="A642" t="inlineStr">
        <is>
          <t>Renville</t>
        </is>
      </c>
      <c r="B642">
        <f>Inputs_State!$B$1</f>
        <v/>
      </c>
      <c r="C642" t="inlineStr">
        <is>
          <t>Standard Case Work</t>
        </is>
      </c>
      <c r="D642" t="n">
        <v>198</v>
      </c>
      <c r="E642">
        <f>IFERROR(VLOOKUP(C642,Weights!$A$2:$B$11,2,FALSE),1)</f>
        <v/>
      </c>
      <c r="F642">
        <f>D642*E642</f>
        <v/>
      </c>
    </row>
    <row r="643">
      <c r="A643" t="inlineStr">
        <is>
          <t>Renville</t>
        </is>
      </c>
      <c r="B643">
        <f>Inputs_State!$B$1</f>
        <v/>
      </c>
      <c r="C643" t="inlineStr">
        <is>
          <t>Full Locate / Long Locate</t>
        </is>
      </c>
      <c r="D643" t="n">
        <v>252</v>
      </c>
      <c r="E643">
        <f>IFERROR(VLOOKUP(C643,Weights!$A$2:$B$11,2,FALSE),2)</f>
        <v/>
      </c>
      <c r="F643">
        <f>D643*E643</f>
        <v/>
      </c>
    </row>
    <row r="644">
      <c r="A644" t="inlineStr">
        <is>
          <t>Renville</t>
        </is>
      </c>
      <c r="B644">
        <f>Inputs_State!$B$1</f>
        <v/>
      </c>
      <c r="C644" t="inlineStr">
        <is>
          <t>METS / Interstate Complexity</t>
        </is>
      </c>
      <c r="D644" t="n">
        <v>77</v>
      </c>
      <c r="E644">
        <f>IFERROR(VLOOKUP(C644,Weights!$A$2:$B$11,2,FALSE),1.5)</f>
        <v/>
      </c>
      <c r="F644">
        <f>D644*E644</f>
        <v/>
      </c>
    </row>
    <row r="645">
      <c r="A645" t="inlineStr">
        <is>
          <t>Renville</t>
        </is>
      </c>
      <c r="B645">
        <f>Inputs_State!$B$1</f>
        <v/>
      </c>
      <c r="C645" t="inlineStr">
        <is>
          <t>Enforcement / R&amp;M Actions</t>
        </is>
      </c>
      <c r="D645" t="n">
        <v>279</v>
      </c>
      <c r="E645">
        <f>IFERROR(VLOOKUP(C645,Weights!$A$2:$B$11,2,FALSE),1.3)</f>
        <v/>
      </c>
      <c r="F645">
        <f>D645*E645</f>
        <v/>
      </c>
    </row>
    <row r="646">
      <c r="A646" t="inlineStr">
        <is>
          <t>Renville</t>
        </is>
      </c>
      <c r="B646">
        <f>Inputs_State!$B$1</f>
        <v/>
      </c>
      <c r="C646" t="inlineStr">
        <is>
          <t>Customer Contacts - Telephone</t>
        </is>
      </c>
      <c r="D646" t="n">
        <v>1685</v>
      </c>
      <c r="E646">
        <f>IFERROR(VLOOKUP(C646,Weights!$A$2:$B$11,2,FALSE),0.2)</f>
        <v/>
      </c>
      <c r="F646">
        <f>D646*E646</f>
        <v/>
      </c>
    </row>
    <row r="647">
      <c r="A647" t="inlineStr">
        <is>
          <t>Renville</t>
        </is>
      </c>
      <c r="B647">
        <f>Inputs_State!$B$1</f>
        <v/>
      </c>
      <c r="C647" t="inlineStr">
        <is>
          <t>Customer Contacts - Email/Portal</t>
        </is>
      </c>
      <c r="D647" t="n">
        <v>10623</v>
      </c>
      <c r="E647">
        <f>IFERROR(VLOOKUP(C647,Weights!$A$2:$B$11,2,FALSE),0.15)</f>
        <v/>
      </c>
      <c r="F647">
        <f>D647*E647</f>
        <v/>
      </c>
    </row>
    <row r="648">
      <c r="A648" t="inlineStr">
        <is>
          <t>Renville</t>
        </is>
      </c>
      <c r="B648">
        <f>Inputs_State!$B$1</f>
        <v/>
      </c>
      <c r="C648" t="inlineStr">
        <is>
          <t>Interpreter/Language Services</t>
        </is>
      </c>
      <c r="D648" t="n">
        <v>835</v>
      </c>
      <c r="E648">
        <f>IFERROR(VLOOKUP(C648,Weights!$A$2:$B$11,2,FALSE),0.6)</f>
        <v/>
      </c>
      <c r="F648">
        <f>D648*E648</f>
        <v/>
      </c>
    </row>
    <row r="649">
      <c r="A649" t="inlineStr">
        <is>
          <t>Renville</t>
        </is>
      </c>
      <c r="B649">
        <f>Inputs_State!$B$1</f>
        <v/>
      </c>
      <c r="C649" t="inlineStr">
        <is>
          <t>Safety / High Risk Handling</t>
        </is>
      </c>
      <c r="D649" t="n">
        <v>165</v>
      </c>
      <c r="E649">
        <f>IFERROR(VLOOKUP(C649,Weights!$A$2:$B$11,2,FALSE),0.7)</f>
        <v/>
      </c>
      <c r="F649">
        <f>D649*E649</f>
        <v/>
      </c>
    </row>
    <row r="650">
      <c r="A650" t="inlineStr">
        <is>
          <t>Renville</t>
        </is>
      </c>
      <c r="B650">
        <f>Inputs_State!$B$1</f>
        <v/>
      </c>
      <c r="C650" t="inlineStr">
        <is>
          <t>Incarceration Coordination</t>
        </is>
      </c>
      <c r="D650" t="n">
        <v>3685</v>
      </c>
      <c r="E650">
        <f>IFERROR(VLOOKUP(C650,Weights!$A$2:$B$11,2,FALSE),0.5)</f>
        <v/>
      </c>
      <c r="F650">
        <f>D650*E650</f>
        <v/>
      </c>
    </row>
    <row r="651">
      <c r="A651" t="inlineStr">
        <is>
          <t>Renville</t>
        </is>
      </c>
      <c r="B651">
        <f>Inputs_State!$B$1</f>
        <v/>
      </c>
      <c r="C651" t="inlineStr">
        <is>
          <t>Unlocatable / Skip Work</t>
        </is>
      </c>
      <c r="D651" t="n">
        <v>220</v>
      </c>
      <c r="E651">
        <f>IFERROR(VLOOKUP(C651,Weights!$A$2:$B$11,2,FALSE),0.8)</f>
        <v/>
      </c>
      <c r="F651">
        <f>D651*E651</f>
        <v/>
      </c>
    </row>
    <row r="652">
      <c r="A652" t="inlineStr">
        <is>
          <t>Rice</t>
        </is>
      </c>
      <c r="B652">
        <f>Inputs_State!$B$1</f>
        <v/>
      </c>
      <c r="C652" t="inlineStr">
        <is>
          <t>Standard Case Work</t>
        </is>
      </c>
      <c r="D652" t="n">
        <v>728</v>
      </c>
      <c r="E652">
        <f>IFERROR(VLOOKUP(C652,Weights!$A$2:$B$11,2,FALSE),1)</f>
        <v/>
      </c>
      <c r="F652">
        <f>D652*E652</f>
        <v/>
      </c>
    </row>
    <row r="653">
      <c r="A653" t="inlineStr">
        <is>
          <t>Rice</t>
        </is>
      </c>
      <c r="B653">
        <f>Inputs_State!$B$1</f>
        <v/>
      </c>
      <c r="C653" t="inlineStr">
        <is>
          <t>Full Locate / Long Locate</t>
        </is>
      </c>
      <c r="D653" t="n">
        <v>1299</v>
      </c>
      <c r="E653">
        <f>IFERROR(VLOOKUP(C653,Weights!$A$2:$B$11,2,FALSE),2)</f>
        <v/>
      </c>
      <c r="F653">
        <f>D653*E653</f>
        <v/>
      </c>
    </row>
    <row r="654">
      <c r="A654" t="inlineStr">
        <is>
          <t>Rice</t>
        </is>
      </c>
      <c r="B654">
        <f>Inputs_State!$B$1</f>
        <v/>
      </c>
      <c r="C654" t="inlineStr">
        <is>
          <t>METS / Interstate Complexity</t>
        </is>
      </c>
      <c r="D654" t="n">
        <v>329</v>
      </c>
      <c r="E654">
        <f>IFERROR(VLOOKUP(C654,Weights!$A$2:$B$11,2,FALSE),1.5)</f>
        <v/>
      </c>
      <c r="F654">
        <f>D654*E654</f>
        <v/>
      </c>
    </row>
    <row r="655">
      <c r="A655" t="inlineStr">
        <is>
          <t>Rice</t>
        </is>
      </c>
      <c r="B655">
        <f>Inputs_State!$B$1</f>
        <v/>
      </c>
      <c r="C655" t="inlineStr">
        <is>
          <t>Enforcement / R&amp;M Actions</t>
        </is>
      </c>
      <c r="D655" t="n">
        <v>1090</v>
      </c>
      <c r="E655">
        <f>IFERROR(VLOOKUP(C655,Weights!$A$2:$B$11,2,FALSE),1.3)</f>
        <v/>
      </c>
      <c r="F655">
        <f>D655*E655</f>
        <v/>
      </c>
    </row>
    <row r="656">
      <c r="A656" t="inlineStr">
        <is>
          <t>Rice</t>
        </is>
      </c>
      <c r="B656">
        <f>Inputs_State!$B$1</f>
        <v/>
      </c>
      <c r="C656" t="inlineStr">
        <is>
          <t>Customer Contacts - Telephone</t>
        </is>
      </c>
      <c r="D656" t="n">
        <v>6748</v>
      </c>
      <c r="E656">
        <f>IFERROR(VLOOKUP(C656,Weights!$A$2:$B$11,2,FALSE),0.2)</f>
        <v/>
      </c>
      <c r="F656">
        <f>D656*E656</f>
        <v/>
      </c>
    </row>
    <row r="657">
      <c r="A657" t="inlineStr">
        <is>
          <t>Rice</t>
        </is>
      </c>
      <c r="B657">
        <f>Inputs_State!$B$1</f>
        <v/>
      </c>
      <c r="C657" t="inlineStr">
        <is>
          <t>Customer Contacts - Email/Portal</t>
        </is>
      </c>
      <c r="D657" t="n">
        <v>43902</v>
      </c>
      <c r="E657">
        <f>IFERROR(VLOOKUP(C657,Weights!$A$2:$B$11,2,FALSE),0.15)</f>
        <v/>
      </c>
      <c r="F657">
        <f>D657*E657</f>
        <v/>
      </c>
    </row>
    <row r="658">
      <c r="A658" t="inlineStr">
        <is>
          <t>Rice</t>
        </is>
      </c>
      <c r="B658">
        <f>Inputs_State!$B$1</f>
        <v/>
      </c>
      <c r="C658" t="inlineStr">
        <is>
          <t>Interpreter/Language Services</t>
        </is>
      </c>
      <c r="D658" t="n">
        <v>3234</v>
      </c>
      <c r="E658">
        <f>IFERROR(VLOOKUP(C658,Weights!$A$2:$B$11,2,FALSE),0.6)</f>
        <v/>
      </c>
      <c r="F658">
        <f>D658*E658</f>
        <v/>
      </c>
    </row>
    <row r="659">
      <c r="A659" t="inlineStr">
        <is>
          <t>Rice</t>
        </is>
      </c>
      <c r="B659">
        <f>Inputs_State!$B$1</f>
        <v/>
      </c>
      <c r="C659" t="inlineStr">
        <is>
          <t>Safety / High Risk Handling</t>
        </is>
      </c>
      <c r="D659" t="n">
        <v>618</v>
      </c>
      <c r="E659">
        <f>IFERROR(VLOOKUP(C659,Weights!$A$2:$B$11,2,FALSE),0.7)</f>
        <v/>
      </c>
      <c r="F659">
        <f>D659*E659</f>
        <v/>
      </c>
    </row>
    <row r="660">
      <c r="A660" t="inlineStr">
        <is>
          <t>Rice</t>
        </is>
      </c>
      <c r="B660">
        <f>Inputs_State!$B$1</f>
        <v/>
      </c>
      <c r="C660" t="inlineStr">
        <is>
          <t>Incarceration Coordination</t>
        </is>
      </c>
      <c r="D660" t="n">
        <v>11771</v>
      </c>
      <c r="E660">
        <f>IFERROR(VLOOKUP(C660,Weights!$A$2:$B$11,2,FALSE),0.5)</f>
        <v/>
      </c>
      <c r="F660">
        <f>D660*E660</f>
        <v/>
      </c>
    </row>
    <row r="661">
      <c r="A661" t="inlineStr">
        <is>
          <t>Rice</t>
        </is>
      </c>
      <c r="B661">
        <f>Inputs_State!$B$1</f>
        <v/>
      </c>
      <c r="C661" t="inlineStr">
        <is>
          <t>Unlocatable / Skip Work</t>
        </is>
      </c>
      <c r="D661" t="n">
        <v>884</v>
      </c>
      <c r="E661">
        <f>IFERROR(VLOOKUP(C661,Weights!$A$2:$B$11,2,FALSE),0.8)</f>
        <v/>
      </c>
      <c r="F661">
        <f>D661*E661</f>
        <v/>
      </c>
    </row>
    <row r="662">
      <c r="A662" t="inlineStr">
        <is>
          <t>Rock</t>
        </is>
      </c>
      <c r="B662">
        <f>Inputs_State!$B$1</f>
        <v/>
      </c>
      <c r="C662" t="inlineStr">
        <is>
          <t>Standard Case Work</t>
        </is>
      </c>
      <c r="D662" t="n">
        <v>177</v>
      </c>
      <c r="E662">
        <f>IFERROR(VLOOKUP(C662,Weights!$A$2:$B$11,2,FALSE),1)</f>
        <v/>
      </c>
      <c r="F662">
        <f>D662*E662</f>
        <v/>
      </c>
    </row>
    <row r="663">
      <c r="A663" t="inlineStr">
        <is>
          <t>Rock</t>
        </is>
      </c>
      <c r="B663">
        <f>Inputs_State!$B$1</f>
        <v/>
      </c>
      <c r="C663" t="inlineStr">
        <is>
          <t>Full Locate / Long Locate</t>
        </is>
      </c>
      <c r="D663" t="n">
        <v>258</v>
      </c>
      <c r="E663">
        <f>IFERROR(VLOOKUP(C663,Weights!$A$2:$B$11,2,FALSE),2)</f>
        <v/>
      </c>
      <c r="F663">
        <f>D663*E663</f>
        <v/>
      </c>
    </row>
    <row r="664">
      <c r="A664" t="inlineStr">
        <is>
          <t>Rock</t>
        </is>
      </c>
      <c r="B664">
        <f>Inputs_State!$B$1</f>
        <v/>
      </c>
      <c r="C664" t="inlineStr">
        <is>
          <t>METS / Interstate Complexity</t>
        </is>
      </c>
      <c r="D664" t="n">
        <v>72</v>
      </c>
      <c r="E664">
        <f>IFERROR(VLOOKUP(C664,Weights!$A$2:$B$11,2,FALSE),1.5)</f>
        <v/>
      </c>
      <c r="F664">
        <f>D664*E664</f>
        <v/>
      </c>
    </row>
    <row r="665">
      <c r="A665" t="inlineStr">
        <is>
          <t>Rock</t>
        </is>
      </c>
      <c r="B665">
        <f>Inputs_State!$B$1</f>
        <v/>
      </c>
      <c r="C665" t="inlineStr">
        <is>
          <t>Enforcement / R&amp;M Actions</t>
        </is>
      </c>
      <c r="D665" t="n">
        <v>262</v>
      </c>
      <c r="E665">
        <f>IFERROR(VLOOKUP(C665,Weights!$A$2:$B$11,2,FALSE),1.3)</f>
        <v/>
      </c>
      <c r="F665">
        <f>D665*E665</f>
        <v/>
      </c>
    </row>
    <row r="666">
      <c r="A666" t="inlineStr">
        <is>
          <t>Rock</t>
        </is>
      </c>
      <c r="B666">
        <f>Inputs_State!$B$1</f>
        <v/>
      </c>
      <c r="C666" t="inlineStr">
        <is>
          <t>Customer Contacts - Telephone</t>
        </is>
      </c>
      <c r="D666" t="n">
        <v>1916</v>
      </c>
      <c r="E666">
        <f>IFERROR(VLOOKUP(C666,Weights!$A$2:$B$11,2,FALSE),0.2)</f>
        <v/>
      </c>
      <c r="F666">
        <f>D666*E666</f>
        <v/>
      </c>
    </row>
    <row r="667">
      <c r="A667" t="inlineStr">
        <is>
          <t>Rock</t>
        </is>
      </c>
      <c r="B667">
        <f>Inputs_State!$B$1</f>
        <v/>
      </c>
      <c r="C667" t="inlineStr">
        <is>
          <t>Customer Contacts - Email/Portal</t>
        </is>
      </c>
      <c r="D667" t="n">
        <v>12903</v>
      </c>
      <c r="E667">
        <f>IFERROR(VLOOKUP(C667,Weights!$A$2:$B$11,2,FALSE),0.15)</f>
        <v/>
      </c>
      <c r="F667">
        <f>D667*E667</f>
        <v/>
      </c>
    </row>
    <row r="668">
      <c r="A668" t="inlineStr">
        <is>
          <t>Rock</t>
        </is>
      </c>
      <c r="B668">
        <f>Inputs_State!$B$1</f>
        <v/>
      </c>
      <c r="C668" t="inlineStr">
        <is>
          <t>Interpreter/Language Services</t>
        </is>
      </c>
      <c r="D668" t="n">
        <v>1088</v>
      </c>
      <c r="E668">
        <f>IFERROR(VLOOKUP(C668,Weights!$A$2:$B$11,2,FALSE),0.6)</f>
        <v/>
      </c>
      <c r="F668">
        <f>D668*E668</f>
        <v/>
      </c>
    </row>
    <row r="669">
      <c r="A669" t="inlineStr">
        <is>
          <t>Rock</t>
        </is>
      </c>
      <c r="B669">
        <f>Inputs_State!$B$1</f>
        <v/>
      </c>
      <c r="C669" t="inlineStr">
        <is>
          <t>Safety / High Risk Handling</t>
        </is>
      </c>
      <c r="D669" t="n">
        <v>185</v>
      </c>
      <c r="E669">
        <f>IFERROR(VLOOKUP(C669,Weights!$A$2:$B$11,2,FALSE),0.7)</f>
        <v/>
      </c>
      <c r="F669">
        <f>D669*E669</f>
        <v/>
      </c>
    </row>
    <row r="670">
      <c r="A670" t="inlineStr">
        <is>
          <t>Rock</t>
        </is>
      </c>
      <c r="B670">
        <f>Inputs_State!$B$1</f>
        <v/>
      </c>
      <c r="C670" t="inlineStr">
        <is>
          <t>Incarceration Coordination</t>
        </is>
      </c>
      <c r="D670" t="n">
        <v>3387</v>
      </c>
      <c r="E670">
        <f>IFERROR(VLOOKUP(C670,Weights!$A$2:$B$11,2,FALSE),0.5)</f>
        <v/>
      </c>
      <c r="F670">
        <f>D670*E670</f>
        <v/>
      </c>
    </row>
    <row r="671">
      <c r="A671" t="inlineStr">
        <is>
          <t>Rock</t>
        </is>
      </c>
      <c r="B671">
        <f>Inputs_State!$B$1</f>
        <v/>
      </c>
      <c r="C671" t="inlineStr">
        <is>
          <t>Unlocatable / Skip Work</t>
        </is>
      </c>
      <c r="D671" t="n">
        <v>237</v>
      </c>
      <c r="E671">
        <f>IFERROR(VLOOKUP(C671,Weights!$A$2:$B$11,2,FALSE),0.8)</f>
        <v/>
      </c>
      <c r="F671">
        <f>D671*E671</f>
        <v/>
      </c>
    </row>
    <row r="672">
      <c r="A672" t="inlineStr">
        <is>
          <t>Roseau</t>
        </is>
      </c>
      <c r="B672">
        <f>Inputs_State!$B$1</f>
        <v/>
      </c>
      <c r="C672" t="inlineStr">
        <is>
          <t>Standard Case Work</t>
        </is>
      </c>
      <c r="D672" t="n">
        <v>163</v>
      </c>
      <c r="E672">
        <f>IFERROR(VLOOKUP(C672,Weights!$A$2:$B$11,2,FALSE),1)</f>
        <v/>
      </c>
      <c r="F672">
        <f>D672*E672</f>
        <v/>
      </c>
    </row>
    <row r="673">
      <c r="A673" t="inlineStr">
        <is>
          <t>Roseau</t>
        </is>
      </c>
      <c r="B673">
        <f>Inputs_State!$B$1</f>
        <v/>
      </c>
      <c r="C673" t="inlineStr">
        <is>
          <t>Full Locate / Long Locate</t>
        </is>
      </c>
      <c r="D673" t="n">
        <v>342</v>
      </c>
      <c r="E673">
        <f>IFERROR(VLOOKUP(C673,Weights!$A$2:$B$11,2,FALSE),2)</f>
        <v/>
      </c>
      <c r="F673">
        <f>D673*E673</f>
        <v/>
      </c>
    </row>
    <row r="674">
      <c r="A674" t="inlineStr">
        <is>
          <t>Roseau</t>
        </is>
      </c>
      <c r="B674">
        <f>Inputs_State!$B$1</f>
        <v/>
      </c>
      <c r="C674" t="inlineStr">
        <is>
          <t>METS / Interstate Complexity</t>
        </is>
      </c>
      <c r="D674" t="n">
        <v>73</v>
      </c>
      <c r="E674">
        <f>IFERROR(VLOOKUP(C674,Weights!$A$2:$B$11,2,FALSE),1.5)</f>
        <v/>
      </c>
      <c r="F674">
        <f>D674*E674</f>
        <v/>
      </c>
    </row>
    <row r="675">
      <c r="A675" t="inlineStr">
        <is>
          <t>Roseau</t>
        </is>
      </c>
      <c r="B675">
        <f>Inputs_State!$B$1</f>
        <v/>
      </c>
      <c r="C675" t="inlineStr">
        <is>
          <t>Enforcement / R&amp;M Actions</t>
        </is>
      </c>
      <c r="D675" t="n">
        <v>253</v>
      </c>
      <c r="E675">
        <f>IFERROR(VLOOKUP(C675,Weights!$A$2:$B$11,2,FALSE),1.3)</f>
        <v/>
      </c>
      <c r="F675">
        <f>D675*E675</f>
        <v/>
      </c>
    </row>
    <row r="676">
      <c r="A676" t="inlineStr">
        <is>
          <t>Roseau</t>
        </is>
      </c>
      <c r="B676">
        <f>Inputs_State!$B$1</f>
        <v/>
      </c>
      <c r="C676" t="inlineStr">
        <is>
          <t>Customer Contacts - Telephone</t>
        </is>
      </c>
      <c r="D676" t="n">
        <v>2069</v>
      </c>
      <c r="E676">
        <f>IFERROR(VLOOKUP(C676,Weights!$A$2:$B$11,2,FALSE),0.2)</f>
        <v/>
      </c>
      <c r="F676">
        <f>D676*E676</f>
        <v/>
      </c>
    </row>
    <row r="677">
      <c r="A677" t="inlineStr">
        <is>
          <t>Roseau</t>
        </is>
      </c>
      <c r="B677">
        <f>Inputs_State!$B$1</f>
        <v/>
      </c>
      <c r="C677" t="inlineStr">
        <is>
          <t>Customer Contacts - Email/Portal</t>
        </is>
      </c>
      <c r="D677" t="n">
        <v>13116</v>
      </c>
      <c r="E677">
        <f>IFERROR(VLOOKUP(C677,Weights!$A$2:$B$11,2,FALSE),0.15)</f>
        <v/>
      </c>
      <c r="F677">
        <f>D677*E677</f>
        <v/>
      </c>
    </row>
    <row r="678">
      <c r="A678" t="inlineStr">
        <is>
          <t>Roseau</t>
        </is>
      </c>
      <c r="B678">
        <f>Inputs_State!$B$1</f>
        <v/>
      </c>
      <c r="C678" t="inlineStr">
        <is>
          <t>Interpreter/Language Services</t>
        </is>
      </c>
      <c r="D678" t="n">
        <v>986</v>
      </c>
      <c r="E678">
        <f>IFERROR(VLOOKUP(C678,Weights!$A$2:$B$11,2,FALSE),0.6)</f>
        <v/>
      </c>
      <c r="F678">
        <f>D678*E678</f>
        <v/>
      </c>
    </row>
    <row r="679">
      <c r="A679" t="inlineStr">
        <is>
          <t>Roseau</t>
        </is>
      </c>
      <c r="B679">
        <f>Inputs_State!$B$1</f>
        <v/>
      </c>
      <c r="C679" t="inlineStr">
        <is>
          <t>Safety / High Risk Handling</t>
        </is>
      </c>
      <c r="D679" t="n">
        <v>164</v>
      </c>
      <c r="E679">
        <f>IFERROR(VLOOKUP(C679,Weights!$A$2:$B$11,2,FALSE),0.7)</f>
        <v/>
      </c>
      <c r="F679">
        <f>D679*E679</f>
        <v/>
      </c>
    </row>
    <row r="680">
      <c r="A680" t="inlineStr">
        <is>
          <t>Roseau</t>
        </is>
      </c>
      <c r="B680">
        <f>Inputs_State!$B$1</f>
        <v/>
      </c>
      <c r="C680" t="inlineStr">
        <is>
          <t>Incarceration Coordination</t>
        </is>
      </c>
      <c r="D680" t="n">
        <v>3488</v>
      </c>
      <c r="E680">
        <f>IFERROR(VLOOKUP(C680,Weights!$A$2:$B$11,2,FALSE),0.5)</f>
        <v/>
      </c>
      <c r="F680">
        <f>D680*E680</f>
        <v/>
      </c>
    </row>
    <row r="681">
      <c r="A681" t="inlineStr">
        <is>
          <t>Roseau</t>
        </is>
      </c>
      <c r="B681">
        <f>Inputs_State!$B$1</f>
        <v/>
      </c>
      <c r="C681" t="inlineStr">
        <is>
          <t>Unlocatable / Skip Work</t>
        </is>
      </c>
      <c r="D681" t="n">
        <v>267</v>
      </c>
      <c r="E681">
        <f>IFERROR(VLOOKUP(C681,Weights!$A$2:$B$11,2,FALSE),0.8)</f>
        <v/>
      </c>
      <c r="F681">
        <f>D681*E681</f>
        <v/>
      </c>
    </row>
    <row r="682">
      <c r="A682" t="inlineStr">
        <is>
          <t>St. Louis</t>
        </is>
      </c>
      <c r="B682">
        <f>Inputs_State!$B$1</f>
        <v/>
      </c>
      <c r="C682" t="inlineStr">
        <is>
          <t>Standard Case Work</t>
        </is>
      </c>
      <c r="D682" t="n">
        <v>1306</v>
      </c>
      <c r="E682">
        <f>IFERROR(VLOOKUP(C682,Weights!$A$2:$B$11,2,FALSE),1)</f>
        <v/>
      </c>
      <c r="F682">
        <f>D682*E682</f>
        <v/>
      </c>
    </row>
    <row r="683">
      <c r="A683" t="inlineStr">
        <is>
          <t>St. Louis</t>
        </is>
      </c>
      <c r="B683">
        <f>Inputs_State!$B$1</f>
        <v/>
      </c>
      <c r="C683" t="inlineStr">
        <is>
          <t>Full Locate / Long Locate</t>
        </is>
      </c>
      <c r="D683" t="n">
        <v>1816</v>
      </c>
      <c r="E683">
        <f>IFERROR(VLOOKUP(C683,Weights!$A$2:$B$11,2,FALSE),2)</f>
        <v/>
      </c>
      <c r="F683">
        <f>D683*E683</f>
        <v/>
      </c>
    </row>
    <row r="684">
      <c r="A684" t="inlineStr">
        <is>
          <t>St. Louis</t>
        </is>
      </c>
      <c r="B684">
        <f>Inputs_State!$B$1</f>
        <v/>
      </c>
      <c r="C684" t="inlineStr">
        <is>
          <t>METS / Interstate Complexity</t>
        </is>
      </c>
      <c r="D684" t="n">
        <v>501</v>
      </c>
      <c r="E684">
        <f>IFERROR(VLOOKUP(C684,Weights!$A$2:$B$11,2,FALSE),1.5)</f>
        <v/>
      </c>
      <c r="F684">
        <f>D684*E684</f>
        <v/>
      </c>
    </row>
    <row r="685">
      <c r="A685" t="inlineStr">
        <is>
          <t>St. Louis</t>
        </is>
      </c>
      <c r="B685">
        <f>Inputs_State!$B$1</f>
        <v/>
      </c>
      <c r="C685" t="inlineStr">
        <is>
          <t>Enforcement / R&amp;M Actions</t>
        </is>
      </c>
      <c r="D685" t="n">
        <v>1834</v>
      </c>
      <c r="E685">
        <f>IFERROR(VLOOKUP(C685,Weights!$A$2:$B$11,2,FALSE),1.3)</f>
        <v/>
      </c>
      <c r="F685">
        <f>D685*E685</f>
        <v/>
      </c>
    </row>
    <row r="686">
      <c r="A686" t="inlineStr">
        <is>
          <t>St. Louis</t>
        </is>
      </c>
      <c r="B686">
        <f>Inputs_State!$B$1</f>
        <v/>
      </c>
      <c r="C686" t="inlineStr">
        <is>
          <t>Customer Contacts - Telephone</t>
        </is>
      </c>
      <c r="D686" t="n">
        <v>13493</v>
      </c>
      <c r="E686">
        <f>IFERROR(VLOOKUP(C686,Weights!$A$2:$B$11,2,FALSE),0.2)</f>
        <v/>
      </c>
      <c r="F686">
        <f>D686*E686</f>
        <v/>
      </c>
    </row>
    <row r="687">
      <c r="A687" t="inlineStr">
        <is>
          <t>St. Louis</t>
        </is>
      </c>
      <c r="B687">
        <f>Inputs_State!$B$1</f>
        <v/>
      </c>
      <c r="C687" t="inlineStr">
        <is>
          <t>Customer Contacts - Email/Portal</t>
        </is>
      </c>
      <c r="D687" t="n">
        <v>78808</v>
      </c>
      <c r="E687">
        <f>IFERROR(VLOOKUP(C687,Weights!$A$2:$B$11,2,FALSE),0.15)</f>
        <v/>
      </c>
      <c r="F687">
        <f>D687*E687</f>
        <v/>
      </c>
    </row>
    <row r="688">
      <c r="A688" t="inlineStr">
        <is>
          <t>St. Louis</t>
        </is>
      </c>
      <c r="B688">
        <f>Inputs_State!$B$1</f>
        <v/>
      </c>
      <c r="C688" t="inlineStr">
        <is>
          <t>Interpreter/Language Services</t>
        </is>
      </c>
      <c r="D688" t="n">
        <v>5931</v>
      </c>
      <c r="E688">
        <f>IFERROR(VLOOKUP(C688,Weights!$A$2:$B$11,2,FALSE),0.6)</f>
        <v/>
      </c>
      <c r="F688">
        <f>D688*E688</f>
        <v/>
      </c>
    </row>
    <row r="689">
      <c r="A689" t="inlineStr">
        <is>
          <t>St. Louis</t>
        </is>
      </c>
      <c r="B689">
        <f>Inputs_State!$B$1</f>
        <v/>
      </c>
      <c r="C689" t="inlineStr">
        <is>
          <t>Safety / High Risk Handling</t>
        </is>
      </c>
      <c r="D689" t="n">
        <v>1215</v>
      </c>
      <c r="E689">
        <f>IFERROR(VLOOKUP(C689,Weights!$A$2:$B$11,2,FALSE),0.7)</f>
        <v/>
      </c>
      <c r="F689">
        <f>D689*E689</f>
        <v/>
      </c>
    </row>
    <row r="690">
      <c r="A690" t="inlineStr">
        <is>
          <t>St. Louis</t>
        </is>
      </c>
      <c r="B690">
        <f>Inputs_State!$B$1</f>
        <v/>
      </c>
      <c r="C690" t="inlineStr">
        <is>
          <t>Incarceration Coordination</t>
        </is>
      </c>
      <c r="D690" t="n">
        <v>23634</v>
      </c>
      <c r="E690">
        <f>IFERROR(VLOOKUP(C690,Weights!$A$2:$B$11,2,FALSE),0.5)</f>
        <v/>
      </c>
      <c r="F690">
        <f>D690*E690</f>
        <v/>
      </c>
    </row>
    <row r="691">
      <c r="A691" t="inlineStr">
        <is>
          <t>St. Louis</t>
        </is>
      </c>
      <c r="B691">
        <f>Inputs_State!$B$1</f>
        <v/>
      </c>
      <c r="C691" t="inlineStr">
        <is>
          <t>Unlocatable / Skip Work</t>
        </is>
      </c>
      <c r="D691" t="n">
        <v>1397</v>
      </c>
      <c r="E691">
        <f>IFERROR(VLOOKUP(C691,Weights!$A$2:$B$11,2,FALSE),0.8)</f>
        <v/>
      </c>
      <c r="F691">
        <f>D691*E691</f>
        <v/>
      </c>
    </row>
    <row r="692">
      <c r="A692" t="inlineStr">
        <is>
          <t>Scott</t>
        </is>
      </c>
      <c r="B692">
        <f>Inputs_State!$B$1</f>
        <v/>
      </c>
      <c r="C692" t="inlineStr">
        <is>
          <t>Standard Case Work</t>
        </is>
      </c>
      <c r="D692" t="n">
        <v>863</v>
      </c>
      <c r="E692">
        <f>IFERROR(VLOOKUP(C692,Weights!$A$2:$B$11,2,FALSE),1)</f>
        <v/>
      </c>
      <c r="F692">
        <f>D692*E692</f>
        <v/>
      </c>
    </row>
    <row r="693">
      <c r="A693" t="inlineStr">
        <is>
          <t>Scott</t>
        </is>
      </c>
      <c r="B693">
        <f>Inputs_State!$B$1</f>
        <v/>
      </c>
      <c r="C693" t="inlineStr">
        <is>
          <t>Full Locate / Long Locate</t>
        </is>
      </c>
      <c r="D693" t="n">
        <v>1545</v>
      </c>
      <c r="E693">
        <f>IFERROR(VLOOKUP(C693,Weights!$A$2:$B$11,2,FALSE),2)</f>
        <v/>
      </c>
      <c r="F693">
        <f>D693*E693</f>
        <v/>
      </c>
    </row>
    <row r="694">
      <c r="A694" t="inlineStr">
        <is>
          <t>Scott</t>
        </is>
      </c>
      <c r="B694">
        <f>Inputs_State!$B$1</f>
        <v/>
      </c>
      <c r="C694" t="inlineStr">
        <is>
          <t>METS / Interstate Complexity</t>
        </is>
      </c>
      <c r="D694" t="n">
        <v>439</v>
      </c>
      <c r="E694">
        <f>IFERROR(VLOOKUP(C694,Weights!$A$2:$B$11,2,FALSE),1.5)</f>
        <v/>
      </c>
      <c r="F694">
        <f>D694*E694</f>
        <v/>
      </c>
    </row>
    <row r="695">
      <c r="A695" t="inlineStr">
        <is>
          <t>Scott</t>
        </is>
      </c>
      <c r="B695">
        <f>Inputs_State!$B$1</f>
        <v/>
      </c>
      <c r="C695" t="inlineStr">
        <is>
          <t>Enforcement / R&amp;M Actions</t>
        </is>
      </c>
      <c r="D695" t="n">
        <v>1485</v>
      </c>
      <c r="E695">
        <f>IFERROR(VLOOKUP(C695,Weights!$A$2:$B$11,2,FALSE),1.3)</f>
        <v/>
      </c>
      <c r="F695">
        <f>D695*E695</f>
        <v/>
      </c>
    </row>
    <row r="696">
      <c r="A696" t="inlineStr">
        <is>
          <t>Scott</t>
        </is>
      </c>
      <c r="B696">
        <f>Inputs_State!$B$1</f>
        <v/>
      </c>
      <c r="C696" t="inlineStr">
        <is>
          <t>Customer Contacts - Telephone</t>
        </is>
      </c>
      <c r="D696" t="n">
        <v>8298</v>
      </c>
      <c r="E696">
        <f>IFERROR(VLOOKUP(C696,Weights!$A$2:$B$11,2,FALSE),0.2)</f>
        <v/>
      </c>
      <c r="F696">
        <f>D696*E696</f>
        <v/>
      </c>
    </row>
    <row r="697">
      <c r="A697" t="inlineStr">
        <is>
          <t>Scott</t>
        </is>
      </c>
      <c r="B697">
        <f>Inputs_State!$B$1</f>
        <v/>
      </c>
      <c r="C697" t="inlineStr">
        <is>
          <t>Customer Contacts - Email/Portal</t>
        </is>
      </c>
      <c r="D697" t="n">
        <v>51111</v>
      </c>
      <c r="E697">
        <f>IFERROR(VLOOKUP(C697,Weights!$A$2:$B$11,2,FALSE),0.15)</f>
        <v/>
      </c>
      <c r="F697">
        <f>D697*E697</f>
        <v/>
      </c>
    </row>
    <row r="698">
      <c r="A698" t="inlineStr">
        <is>
          <t>Scott</t>
        </is>
      </c>
      <c r="B698">
        <f>Inputs_State!$B$1</f>
        <v/>
      </c>
      <c r="C698" t="inlineStr">
        <is>
          <t>Interpreter/Language Services</t>
        </is>
      </c>
      <c r="D698" t="n">
        <v>4637</v>
      </c>
      <c r="E698">
        <f>IFERROR(VLOOKUP(C698,Weights!$A$2:$B$11,2,FALSE),0.6)</f>
        <v/>
      </c>
      <c r="F698">
        <f>D698*E698</f>
        <v/>
      </c>
    </row>
    <row r="699">
      <c r="A699" t="inlineStr">
        <is>
          <t>Scott</t>
        </is>
      </c>
      <c r="B699">
        <f>Inputs_State!$B$1</f>
        <v/>
      </c>
      <c r="C699" t="inlineStr">
        <is>
          <t>Safety / High Risk Handling</t>
        </is>
      </c>
      <c r="D699" t="n">
        <v>822</v>
      </c>
      <c r="E699">
        <f>IFERROR(VLOOKUP(C699,Weights!$A$2:$B$11,2,FALSE),0.7)</f>
        <v/>
      </c>
      <c r="F699">
        <f>D699*E699</f>
        <v/>
      </c>
    </row>
    <row r="700">
      <c r="A700" t="inlineStr">
        <is>
          <t>Scott</t>
        </is>
      </c>
      <c r="B700">
        <f>Inputs_State!$B$1</f>
        <v/>
      </c>
      <c r="C700" t="inlineStr">
        <is>
          <t>Incarceration Coordination</t>
        </is>
      </c>
      <c r="D700" t="n">
        <v>18037</v>
      </c>
      <c r="E700">
        <f>IFERROR(VLOOKUP(C700,Weights!$A$2:$B$11,2,FALSE),0.5)</f>
        <v/>
      </c>
      <c r="F700">
        <f>D700*E700</f>
        <v/>
      </c>
    </row>
    <row r="701">
      <c r="A701" t="inlineStr">
        <is>
          <t>Scott</t>
        </is>
      </c>
      <c r="B701">
        <f>Inputs_State!$B$1</f>
        <v/>
      </c>
      <c r="C701" t="inlineStr">
        <is>
          <t>Unlocatable / Skip Work</t>
        </is>
      </c>
      <c r="D701" t="n">
        <v>1217</v>
      </c>
      <c r="E701">
        <f>IFERROR(VLOOKUP(C701,Weights!$A$2:$B$11,2,FALSE),0.8)</f>
        <v/>
      </c>
      <c r="F701">
        <f>D701*E701</f>
        <v/>
      </c>
    </row>
    <row r="702">
      <c r="A702" t="inlineStr">
        <is>
          <t>Sherburne</t>
        </is>
      </c>
      <c r="B702">
        <f>Inputs_State!$B$1</f>
        <v/>
      </c>
      <c r="C702" t="inlineStr">
        <is>
          <t>Standard Case Work</t>
        </is>
      </c>
      <c r="D702" t="n">
        <v>419</v>
      </c>
      <c r="E702">
        <f>IFERROR(VLOOKUP(C702,Weights!$A$2:$B$11,2,FALSE),1)</f>
        <v/>
      </c>
      <c r="F702">
        <f>D702*E702</f>
        <v/>
      </c>
    </row>
    <row r="703">
      <c r="A703" t="inlineStr">
        <is>
          <t>Sherburne</t>
        </is>
      </c>
      <c r="B703">
        <f>Inputs_State!$B$1</f>
        <v/>
      </c>
      <c r="C703" t="inlineStr">
        <is>
          <t>Full Locate / Long Locate</t>
        </is>
      </c>
      <c r="D703" t="n">
        <v>698</v>
      </c>
      <c r="E703">
        <f>IFERROR(VLOOKUP(C703,Weights!$A$2:$B$11,2,FALSE),2)</f>
        <v/>
      </c>
      <c r="F703">
        <f>D703*E703</f>
        <v/>
      </c>
    </row>
    <row r="704">
      <c r="A704" t="inlineStr">
        <is>
          <t>Sherburne</t>
        </is>
      </c>
      <c r="B704">
        <f>Inputs_State!$B$1</f>
        <v/>
      </c>
      <c r="C704" t="inlineStr">
        <is>
          <t>METS / Interstate Complexity</t>
        </is>
      </c>
      <c r="D704" t="n">
        <v>216</v>
      </c>
      <c r="E704">
        <f>IFERROR(VLOOKUP(C704,Weights!$A$2:$B$11,2,FALSE),1.5)</f>
        <v/>
      </c>
      <c r="F704">
        <f>D704*E704</f>
        <v/>
      </c>
    </row>
    <row r="705">
      <c r="A705" t="inlineStr">
        <is>
          <t>Sherburne</t>
        </is>
      </c>
      <c r="B705">
        <f>Inputs_State!$B$1</f>
        <v/>
      </c>
      <c r="C705" t="inlineStr">
        <is>
          <t>Enforcement / R&amp;M Actions</t>
        </is>
      </c>
      <c r="D705" t="n">
        <v>788</v>
      </c>
      <c r="E705">
        <f>IFERROR(VLOOKUP(C705,Weights!$A$2:$B$11,2,FALSE),1.3)</f>
        <v/>
      </c>
      <c r="F705">
        <f>D705*E705</f>
        <v/>
      </c>
    </row>
    <row r="706">
      <c r="A706" t="inlineStr">
        <is>
          <t>Sherburne</t>
        </is>
      </c>
      <c r="B706">
        <f>Inputs_State!$B$1</f>
        <v/>
      </c>
      <c r="C706" t="inlineStr">
        <is>
          <t>Customer Contacts - Telephone</t>
        </is>
      </c>
      <c r="D706" t="n">
        <v>5226</v>
      </c>
      <c r="E706">
        <f>IFERROR(VLOOKUP(C706,Weights!$A$2:$B$11,2,FALSE),0.2)</f>
        <v/>
      </c>
      <c r="F706">
        <f>D706*E706</f>
        <v/>
      </c>
    </row>
    <row r="707">
      <c r="A707" t="inlineStr">
        <is>
          <t>Sherburne</t>
        </is>
      </c>
      <c r="B707">
        <f>Inputs_State!$B$1</f>
        <v/>
      </c>
      <c r="C707" t="inlineStr">
        <is>
          <t>Customer Contacts - Email/Portal</t>
        </is>
      </c>
      <c r="D707" t="n">
        <v>32139</v>
      </c>
      <c r="E707">
        <f>IFERROR(VLOOKUP(C707,Weights!$A$2:$B$11,2,FALSE),0.15)</f>
        <v/>
      </c>
      <c r="F707">
        <f>D707*E707</f>
        <v/>
      </c>
    </row>
    <row r="708">
      <c r="A708" t="inlineStr">
        <is>
          <t>Sherburne</t>
        </is>
      </c>
      <c r="B708">
        <f>Inputs_State!$B$1</f>
        <v/>
      </c>
      <c r="C708" t="inlineStr">
        <is>
          <t>Interpreter/Language Services</t>
        </is>
      </c>
      <c r="D708" t="n">
        <v>2920</v>
      </c>
      <c r="E708">
        <f>IFERROR(VLOOKUP(C708,Weights!$A$2:$B$11,2,FALSE),0.6)</f>
        <v/>
      </c>
      <c r="F708">
        <f>D708*E708</f>
        <v/>
      </c>
    </row>
    <row r="709">
      <c r="A709" t="inlineStr">
        <is>
          <t>Sherburne</t>
        </is>
      </c>
      <c r="B709">
        <f>Inputs_State!$B$1</f>
        <v/>
      </c>
      <c r="C709" t="inlineStr">
        <is>
          <t>Safety / High Risk Handling</t>
        </is>
      </c>
      <c r="D709" t="n">
        <v>432</v>
      </c>
      <c r="E709">
        <f>IFERROR(VLOOKUP(C709,Weights!$A$2:$B$11,2,FALSE),0.7)</f>
        <v/>
      </c>
      <c r="F709">
        <f>D709*E709</f>
        <v/>
      </c>
    </row>
    <row r="710">
      <c r="A710" t="inlineStr">
        <is>
          <t>Sherburne</t>
        </is>
      </c>
      <c r="B710">
        <f>Inputs_State!$B$1</f>
        <v/>
      </c>
      <c r="C710" t="inlineStr">
        <is>
          <t>Incarceration Coordination</t>
        </is>
      </c>
      <c r="D710" t="n">
        <v>9222</v>
      </c>
      <c r="E710">
        <f>IFERROR(VLOOKUP(C710,Weights!$A$2:$B$11,2,FALSE),0.5)</f>
        <v/>
      </c>
      <c r="F710">
        <f>D710*E710</f>
        <v/>
      </c>
    </row>
    <row r="711">
      <c r="A711" t="inlineStr">
        <is>
          <t>Sherburne</t>
        </is>
      </c>
      <c r="B711">
        <f>Inputs_State!$B$1</f>
        <v/>
      </c>
      <c r="C711" t="inlineStr">
        <is>
          <t>Unlocatable / Skip Work</t>
        </is>
      </c>
      <c r="D711" t="n">
        <v>628</v>
      </c>
      <c r="E711">
        <f>IFERROR(VLOOKUP(C711,Weights!$A$2:$B$11,2,FALSE),0.8)</f>
        <v/>
      </c>
      <c r="F711">
        <f>D711*E711</f>
        <v/>
      </c>
    </row>
    <row r="712">
      <c r="A712" t="inlineStr">
        <is>
          <t>Sibley</t>
        </is>
      </c>
      <c r="B712">
        <f>Inputs_State!$B$1</f>
        <v/>
      </c>
      <c r="C712" t="inlineStr">
        <is>
          <t>Standard Case Work</t>
        </is>
      </c>
      <c r="D712" t="n">
        <v>265</v>
      </c>
      <c r="E712">
        <f>IFERROR(VLOOKUP(C712,Weights!$A$2:$B$11,2,FALSE),1)</f>
        <v/>
      </c>
      <c r="F712">
        <f>D712*E712</f>
        <v/>
      </c>
    </row>
    <row r="713">
      <c r="A713" t="inlineStr">
        <is>
          <t>Sibley</t>
        </is>
      </c>
      <c r="B713">
        <f>Inputs_State!$B$1</f>
        <v/>
      </c>
      <c r="C713" t="inlineStr">
        <is>
          <t>Full Locate / Long Locate</t>
        </is>
      </c>
      <c r="D713" t="n">
        <v>406</v>
      </c>
      <c r="E713">
        <f>IFERROR(VLOOKUP(C713,Weights!$A$2:$B$11,2,FALSE),2)</f>
        <v/>
      </c>
      <c r="F713">
        <f>D713*E713</f>
        <v/>
      </c>
    </row>
    <row r="714">
      <c r="A714" t="inlineStr">
        <is>
          <t>Sibley</t>
        </is>
      </c>
      <c r="B714">
        <f>Inputs_State!$B$1</f>
        <v/>
      </c>
      <c r="C714" t="inlineStr">
        <is>
          <t>METS / Interstate Complexity</t>
        </is>
      </c>
      <c r="D714" t="n">
        <v>114</v>
      </c>
      <c r="E714">
        <f>IFERROR(VLOOKUP(C714,Weights!$A$2:$B$11,2,FALSE),1.5)</f>
        <v/>
      </c>
      <c r="F714">
        <f>D714*E714</f>
        <v/>
      </c>
    </row>
    <row r="715">
      <c r="A715" t="inlineStr">
        <is>
          <t>Sibley</t>
        </is>
      </c>
      <c r="B715">
        <f>Inputs_State!$B$1</f>
        <v/>
      </c>
      <c r="C715" t="inlineStr">
        <is>
          <t>Enforcement / R&amp;M Actions</t>
        </is>
      </c>
      <c r="D715" t="n">
        <v>347</v>
      </c>
      <c r="E715">
        <f>IFERROR(VLOOKUP(C715,Weights!$A$2:$B$11,2,FALSE),1.3)</f>
        <v/>
      </c>
      <c r="F715">
        <f>D715*E715</f>
        <v/>
      </c>
    </row>
    <row r="716">
      <c r="A716" t="inlineStr">
        <is>
          <t>Sibley</t>
        </is>
      </c>
      <c r="B716">
        <f>Inputs_State!$B$1</f>
        <v/>
      </c>
      <c r="C716" t="inlineStr">
        <is>
          <t>Customer Contacts - Telephone</t>
        </is>
      </c>
      <c r="D716" t="n">
        <v>2375</v>
      </c>
      <c r="E716">
        <f>IFERROR(VLOOKUP(C716,Weights!$A$2:$B$11,2,FALSE),0.2)</f>
        <v/>
      </c>
      <c r="F716">
        <f>D716*E716</f>
        <v/>
      </c>
    </row>
    <row r="717">
      <c r="A717" t="inlineStr">
        <is>
          <t>Sibley</t>
        </is>
      </c>
      <c r="B717">
        <f>Inputs_State!$B$1</f>
        <v/>
      </c>
      <c r="C717" t="inlineStr">
        <is>
          <t>Customer Contacts - Email/Portal</t>
        </is>
      </c>
      <c r="D717" t="n">
        <v>14468</v>
      </c>
      <c r="E717">
        <f>IFERROR(VLOOKUP(C717,Weights!$A$2:$B$11,2,FALSE),0.15)</f>
        <v/>
      </c>
      <c r="F717">
        <f>D717*E717</f>
        <v/>
      </c>
    </row>
    <row r="718">
      <c r="A718" t="inlineStr">
        <is>
          <t>Sibley</t>
        </is>
      </c>
      <c r="B718">
        <f>Inputs_State!$B$1</f>
        <v/>
      </c>
      <c r="C718" t="inlineStr">
        <is>
          <t>Interpreter/Language Services</t>
        </is>
      </c>
      <c r="D718" t="n">
        <v>1104</v>
      </c>
      <c r="E718">
        <f>IFERROR(VLOOKUP(C718,Weights!$A$2:$B$11,2,FALSE),0.6)</f>
        <v/>
      </c>
      <c r="F718">
        <f>D718*E718</f>
        <v/>
      </c>
    </row>
    <row r="719">
      <c r="A719" t="inlineStr">
        <is>
          <t>Sibley</t>
        </is>
      </c>
      <c r="B719">
        <f>Inputs_State!$B$1</f>
        <v/>
      </c>
      <c r="C719" t="inlineStr">
        <is>
          <t>Safety / High Risk Handling</t>
        </is>
      </c>
      <c r="D719" t="n">
        <v>210</v>
      </c>
      <c r="E719">
        <f>IFERROR(VLOOKUP(C719,Weights!$A$2:$B$11,2,FALSE),0.7)</f>
        <v/>
      </c>
      <c r="F719">
        <f>D719*E719</f>
        <v/>
      </c>
    </row>
    <row r="720">
      <c r="A720" t="inlineStr">
        <is>
          <t>Sibley</t>
        </is>
      </c>
      <c r="B720">
        <f>Inputs_State!$B$1</f>
        <v/>
      </c>
      <c r="C720" t="inlineStr">
        <is>
          <t>Incarceration Coordination</t>
        </is>
      </c>
      <c r="D720" t="n">
        <v>4109</v>
      </c>
      <c r="E720">
        <f>IFERROR(VLOOKUP(C720,Weights!$A$2:$B$11,2,FALSE),0.5)</f>
        <v/>
      </c>
      <c r="F720">
        <f>D720*E720</f>
        <v/>
      </c>
    </row>
    <row r="721">
      <c r="A721" t="inlineStr">
        <is>
          <t>Sibley</t>
        </is>
      </c>
      <c r="B721">
        <f>Inputs_State!$B$1</f>
        <v/>
      </c>
      <c r="C721" t="inlineStr">
        <is>
          <t>Unlocatable / Skip Work</t>
        </is>
      </c>
      <c r="D721" t="n">
        <v>269</v>
      </c>
      <c r="E721">
        <f>IFERROR(VLOOKUP(C721,Weights!$A$2:$B$11,2,FALSE),0.8)</f>
        <v/>
      </c>
      <c r="F721">
        <f>D721*E721</f>
        <v/>
      </c>
    </row>
    <row r="722">
      <c r="A722" t="inlineStr">
        <is>
          <t>Stearns</t>
        </is>
      </c>
      <c r="B722">
        <f>Inputs_State!$B$1</f>
        <v/>
      </c>
      <c r="C722" t="inlineStr">
        <is>
          <t>Standard Case Work</t>
        </is>
      </c>
      <c r="D722" t="n">
        <v>757</v>
      </c>
      <c r="E722">
        <f>IFERROR(VLOOKUP(C722,Weights!$A$2:$B$11,2,FALSE),1)</f>
        <v/>
      </c>
      <c r="F722">
        <f>D722*E722</f>
        <v/>
      </c>
    </row>
    <row r="723">
      <c r="A723" t="inlineStr">
        <is>
          <t>Stearns</t>
        </is>
      </c>
      <c r="B723">
        <f>Inputs_State!$B$1</f>
        <v/>
      </c>
      <c r="C723" t="inlineStr">
        <is>
          <t>Full Locate / Long Locate</t>
        </is>
      </c>
      <c r="D723" t="n">
        <v>1471</v>
      </c>
      <c r="E723">
        <f>IFERROR(VLOOKUP(C723,Weights!$A$2:$B$11,2,FALSE),2)</f>
        <v/>
      </c>
      <c r="F723">
        <f>D723*E723</f>
        <v/>
      </c>
    </row>
    <row r="724">
      <c r="A724" t="inlineStr">
        <is>
          <t>Stearns</t>
        </is>
      </c>
      <c r="B724">
        <f>Inputs_State!$B$1</f>
        <v/>
      </c>
      <c r="C724" t="inlineStr">
        <is>
          <t>METS / Interstate Complexity</t>
        </is>
      </c>
      <c r="D724" t="n">
        <v>397</v>
      </c>
      <c r="E724">
        <f>IFERROR(VLOOKUP(C724,Weights!$A$2:$B$11,2,FALSE),1.5)</f>
        <v/>
      </c>
      <c r="F724">
        <f>D724*E724</f>
        <v/>
      </c>
    </row>
    <row r="725">
      <c r="A725" t="inlineStr">
        <is>
          <t>Stearns</t>
        </is>
      </c>
      <c r="B725">
        <f>Inputs_State!$B$1</f>
        <v/>
      </c>
      <c r="C725" t="inlineStr">
        <is>
          <t>Enforcement / R&amp;M Actions</t>
        </is>
      </c>
      <c r="D725" t="n">
        <v>1138</v>
      </c>
      <c r="E725">
        <f>IFERROR(VLOOKUP(C725,Weights!$A$2:$B$11,2,FALSE),1.3)</f>
        <v/>
      </c>
      <c r="F725">
        <f>D725*E725</f>
        <v/>
      </c>
    </row>
    <row r="726">
      <c r="A726" t="inlineStr">
        <is>
          <t>Stearns</t>
        </is>
      </c>
      <c r="B726">
        <f>Inputs_State!$B$1</f>
        <v/>
      </c>
      <c r="C726" t="inlineStr">
        <is>
          <t>Customer Contacts - Telephone</t>
        </is>
      </c>
      <c r="D726" t="n">
        <v>9614</v>
      </c>
      <c r="E726">
        <f>IFERROR(VLOOKUP(C726,Weights!$A$2:$B$11,2,FALSE),0.2)</f>
        <v/>
      </c>
      <c r="F726">
        <f>D726*E726</f>
        <v/>
      </c>
    </row>
    <row r="727">
      <c r="A727" t="inlineStr">
        <is>
          <t>Stearns</t>
        </is>
      </c>
      <c r="B727">
        <f>Inputs_State!$B$1</f>
        <v/>
      </c>
      <c r="C727" t="inlineStr">
        <is>
          <t>Customer Contacts - Email/Portal</t>
        </is>
      </c>
      <c r="D727" t="n">
        <v>64640</v>
      </c>
      <c r="E727">
        <f>IFERROR(VLOOKUP(C727,Weights!$A$2:$B$11,2,FALSE),0.15)</f>
        <v/>
      </c>
      <c r="F727">
        <f>D727*E727</f>
        <v/>
      </c>
    </row>
    <row r="728">
      <c r="A728" t="inlineStr">
        <is>
          <t>Stearns</t>
        </is>
      </c>
      <c r="B728">
        <f>Inputs_State!$B$1</f>
        <v/>
      </c>
      <c r="C728" t="inlineStr">
        <is>
          <t>Interpreter/Language Services</t>
        </is>
      </c>
      <c r="D728" t="n">
        <v>5134</v>
      </c>
      <c r="E728">
        <f>IFERROR(VLOOKUP(C728,Weights!$A$2:$B$11,2,FALSE),0.6)</f>
        <v/>
      </c>
      <c r="F728">
        <f>D728*E728</f>
        <v/>
      </c>
    </row>
    <row r="729">
      <c r="A729" t="inlineStr">
        <is>
          <t>Stearns</t>
        </is>
      </c>
      <c r="B729">
        <f>Inputs_State!$B$1</f>
        <v/>
      </c>
      <c r="C729" t="inlineStr">
        <is>
          <t>Safety / High Risk Handling</t>
        </is>
      </c>
      <c r="D729" t="n">
        <v>917</v>
      </c>
      <c r="E729">
        <f>IFERROR(VLOOKUP(C729,Weights!$A$2:$B$11,2,FALSE),0.7)</f>
        <v/>
      </c>
      <c r="F729">
        <f>D729*E729</f>
        <v/>
      </c>
    </row>
    <row r="730">
      <c r="A730" t="inlineStr">
        <is>
          <t>Stearns</t>
        </is>
      </c>
      <c r="B730">
        <f>Inputs_State!$B$1</f>
        <v/>
      </c>
      <c r="C730" t="inlineStr">
        <is>
          <t>Incarceration Coordination</t>
        </is>
      </c>
      <c r="D730" t="n">
        <v>15172</v>
      </c>
      <c r="E730">
        <f>IFERROR(VLOOKUP(C730,Weights!$A$2:$B$11,2,FALSE),0.5)</f>
        <v/>
      </c>
      <c r="F730">
        <f>D730*E730</f>
        <v/>
      </c>
    </row>
    <row r="731">
      <c r="A731" t="inlineStr">
        <is>
          <t>Stearns</t>
        </is>
      </c>
      <c r="B731">
        <f>Inputs_State!$B$1</f>
        <v/>
      </c>
      <c r="C731" t="inlineStr">
        <is>
          <t>Unlocatable / Skip Work</t>
        </is>
      </c>
      <c r="D731" t="n">
        <v>1094</v>
      </c>
      <c r="E731">
        <f>IFERROR(VLOOKUP(C731,Weights!$A$2:$B$11,2,FALSE),0.8)</f>
        <v/>
      </c>
      <c r="F731">
        <f>D731*E731</f>
        <v/>
      </c>
    </row>
    <row r="732">
      <c r="A732" t="inlineStr">
        <is>
          <t>Steele</t>
        </is>
      </c>
      <c r="B732">
        <f>Inputs_State!$B$1</f>
        <v/>
      </c>
      <c r="C732" t="inlineStr">
        <is>
          <t>Standard Case Work</t>
        </is>
      </c>
      <c r="D732" t="n">
        <v>195</v>
      </c>
      <c r="E732">
        <f>IFERROR(VLOOKUP(C732,Weights!$A$2:$B$11,2,FALSE),1)</f>
        <v/>
      </c>
      <c r="F732">
        <f>D732*E732</f>
        <v/>
      </c>
    </row>
    <row r="733">
      <c r="A733" t="inlineStr">
        <is>
          <t>Steele</t>
        </is>
      </c>
      <c r="B733">
        <f>Inputs_State!$B$1</f>
        <v/>
      </c>
      <c r="C733" t="inlineStr">
        <is>
          <t>Full Locate / Long Locate</t>
        </is>
      </c>
      <c r="D733" t="n">
        <v>334</v>
      </c>
      <c r="E733">
        <f>IFERROR(VLOOKUP(C733,Weights!$A$2:$B$11,2,FALSE),2)</f>
        <v/>
      </c>
      <c r="F733">
        <f>D733*E733</f>
        <v/>
      </c>
    </row>
    <row r="734">
      <c r="A734" t="inlineStr">
        <is>
          <t>Steele</t>
        </is>
      </c>
      <c r="B734">
        <f>Inputs_State!$B$1</f>
        <v/>
      </c>
      <c r="C734" t="inlineStr">
        <is>
          <t>METS / Interstate Complexity</t>
        </is>
      </c>
      <c r="D734" t="n">
        <v>84</v>
      </c>
      <c r="E734">
        <f>IFERROR(VLOOKUP(C734,Weights!$A$2:$B$11,2,FALSE),1.5)</f>
        <v/>
      </c>
      <c r="F734">
        <f>D734*E734</f>
        <v/>
      </c>
    </row>
    <row r="735">
      <c r="A735" t="inlineStr">
        <is>
          <t>Steele</t>
        </is>
      </c>
      <c r="B735">
        <f>Inputs_State!$B$1</f>
        <v/>
      </c>
      <c r="C735" t="inlineStr">
        <is>
          <t>Enforcement / R&amp;M Actions</t>
        </is>
      </c>
      <c r="D735" t="n">
        <v>248</v>
      </c>
      <c r="E735">
        <f>IFERROR(VLOOKUP(C735,Weights!$A$2:$B$11,2,FALSE),1.3)</f>
        <v/>
      </c>
      <c r="F735">
        <f>D735*E735</f>
        <v/>
      </c>
    </row>
    <row r="736">
      <c r="A736" t="inlineStr">
        <is>
          <t>Steele</t>
        </is>
      </c>
      <c r="B736">
        <f>Inputs_State!$B$1</f>
        <v/>
      </c>
      <c r="C736" t="inlineStr">
        <is>
          <t>Customer Contacts - Telephone</t>
        </is>
      </c>
      <c r="D736" t="n">
        <v>1593</v>
      </c>
      <c r="E736">
        <f>IFERROR(VLOOKUP(C736,Weights!$A$2:$B$11,2,FALSE),0.2)</f>
        <v/>
      </c>
      <c r="F736">
        <f>D736*E736</f>
        <v/>
      </c>
    </row>
    <row r="737">
      <c r="A737" t="inlineStr">
        <is>
          <t>Steele</t>
        </is>
      </c>
      <c r="B737">
        <f>Inputs_State!$B$1</f>
        <v/>
      </c>
      <c r="C737" t="inlineStr">
        <is>
          <t>Customer Contacts - Email/Portal</t>
        </is>
      </c>
      <c r="D737" t="n">
        <v>13385</v>
      </c>
      <c r="E737">
        <f>IFERROR(VLOOKUP(C737,Weights!$A$2:$B$11,2,FALSE),0.15)</f>
        <v/>
      </c>
      <c r="F737">
        <f>D737*E737</f>
        <v/>
      </c>
    </row>
    <row r="738">
      <c r="A738" t="inlineStr">
        <is>
          <t>Steele</t>
        </is>
      </c>
      <c r="B738">
        <f>Inputs_State!$B$1</f>
        <v/>
      </c>
      <c r="C738" t="inlineStr">
        <is>
          <t>Interpreter/Language Services</t>
        </is>
      </c>
      <c r="D738" t="n">
        <v>992</v>
      </c>
      <c r="E738">
        <f>IFERROR(VLOOKUP(C738,Weights!$A$2:$B$11,2,FALSE),0.6)</f>
        <v/>
      </c>
      <c r="F738">
        <f>D738*E738</f>
        <v/>
      </c>
    </row>
    <row r="739">
      <c r="A739" t="inlineStr">
        <is>
          <t>Steele</t>
        </is>
      </c>
      <c r="B739">
        <f>Inputs_State!$B$1</f>
        <v/>
      </c>
      <c r="C739" t="inlineStr">
        <is>
          <t>Safety / High Risk Handling</t>
        </is>
      </c>
      <c r="D739" t="n">
        <v>182</v>
      </c>
      <c r="E739">
        <f>IFERROR(VLOOKUP(C739,Weights!$A$2:$B$11,2,FALSE),0.7)</f>
        <v/>
      </c>
      <c r="F739">
        <f>D739*E739</f>
        <v/>
      </c>
    </row>
    <row r="740">
      <c r="A740" t="inlineStr">
        <is>
          <t>Steele</t>
        </is>
      </c>
      <c r="B740">
        <f>Inputs_State!$B$1</f>
        <v/>
      </c>
      <c r="C740" t="inlineStr">
        <is>
          <t>Incarceration Coordination</t>
        </is>
      </c>
      <c r="D740" t="n">
        <v>3317</v>
      </c>
      <c r="E740">
        <f>IFERROR(VLOOKUP(C740,Weights!$A$2:$B$11,2,FALSE),0.5)</f>
        <v/>
      </c>
      <c r="F740">
        <f>D740*E740</f>
        <v/>
      </c>
    </row>
    <row r="741">
      <c r="A741" t="inlineStr">
        <is>
          <t>Steele</t>
        </is>
      </c>
      <c r="B741">
        <f>Inputs_State!$B$1</f>
        <v/>
      </c>
      <c r="C741" t="inlineStr">
        <is>
          <t>Unlocatable / Skip Work</t>
        </is>
      </c>
      <c r="D741" t="n">
        <v>263</v>
      </c>
      <c r="E741">
        <f>IFERROR(VLOOKUP(C741,Weights!$A$2:$B$11,2,FALSE),0.8)</f>
        <v/>
      </c>
      <c r="F741">
        <f>D741*E741</f>
        <v/>
      </c>
    </row>
    <row r="742">
      <c r="A742" t="inlineStr">
        <is>
          <t>Stevens</t>
        </is>
      </c>
      <c r="B742">
        <f>Inputs_State!$B$1</f>
        <v/>
      </c>
      <c r="C742" t="inlineStr">
        <is>
          <t>Standard Case Work</t>
        </is>
      </c>
      <c r="D742" t="n">
        <v>304</v>
      </c>
      <c r="E742">
        <f>IFERROR(VLOOKUP(C742,Weights!$A$2:$B$11,2,FALSE),1)</f>
        <v/>
      </c>
      <c r="F742">
        <f>D742*E742</f>
        <v/>
      </c>
    </row>
    <row r="743">
      <c r="A743" t="inlineStr">
        <is>
          <t>Stevens</t>
        </is>
      </c>
      <c r="B743">
        <f>Inputs_State!$B$1</f>
        <v/>
      </c>
      <c r="C743" t="inlineStr">
        <is>
          <t>Full Locate / Long Locate</t>
        </is>
      </c>
      <c r="D743" t="n">
        <v>477</v>
      </c>
      <c r="E743">
        <f>IFERROR(VLOOKUP(C743,Weights!$A$2:$B$11,2,FALSE),2)</f>
        <v/>
      </c>
      <c r="F743">
        <f>D743*E743</f>
        <v/>
      </c>
    </row>
    <row r="744">
      <c r="A744" t="inlineStr">
        <is>
          <t>Stevens</t>
        </is>
      </c>
      <c r="B744">
        <f>Inputs_State!$B$1</f>
        <v/>
      </c>
      <c r="C744" t="inlineStr">
        <is>
          <t>METS / Interstate Complexity</t>
        </is>
      </c>
      <c r="D744" t="n">
        <v>117</v>
      </c>
      <c r="E744">
        <f>IFERROR(VLOOKUP(C744,Weights!$A$2:$B$11,2,FALSE),1.5)</f>
        <v/>
      </c>
      <c r="F744">
        <f>D744*E744</f>
        <v/>
      </c>
    </row>
    <row r="745">
      <c r="A745" t="inlineStr">
        <is>
          <t>Stevens</t>
        </is>
      </c>
      <c r="B745">
        <f>Inputs_State!$B$1</f>
        <v/>
      </c>
      <c r="C745" t="inlineStr">
        <is>
          <t>Enforcement / R&amp;M Actions</t>
        </is>
      </c>
      <c r="D745" t="n">
        <v>446</v>
      </c>
      <c r="E745">
        <f>IFERROR(VLOOKUP(C745,Weights!$A$2:$B$11,2,FALSE),1.3)</f>
        <v/>
      </c>
      <c r="F745">
        <f>D745*E745</f>
        <v/>
      </c>
    </row>
    <row r="746">
      <c r="A746" t="inlineStr">
        <is>
          <t>Stevens</t>
        </is>
      </c>
      <c r="B746">
        <f>Inputs_State!$B$1</f>
        <v/>
      </c>
      <c r="C746" t="inlineStr">
        <is>
          <t>Customer Contacts - Telephone</t>
        </is>
      </c>
      <c r="D746" t="n">
        <v>3063</v>
      </c>
      <c r="E746">
        <f>IFERROR(VLOOKUP(C746,Weights!$A$2:$B$11,2,FALSE),0.2)</f>
        <v/>
      </c>
      <c r="F746">
        <f>D746*E746</f>
        <v/>
      </c>
    </row>
    <row r="747">
      <c r="A747" t="inlineStr">
        <is>
          <t>Stevens</t>
        </is>
      </c>
      <c r="B747">
        <f>Inputs_State!$B$1</f>
        <v/>
      </c>
      <c r="C747" t="inlineStr">
        <is>
          <t>Customer Contacts - Email/Portal</t>
        </is>
      </c>
      <c r="D747" t="n">
        <v>18199</v>
      </c>
      <c r="E747">
        <f>IFERROR(VLOOKUP(C747,Weights!$A$2:$B$11,2,FALSE),0.15)</f>
        <v/>
      </c>
      <c r="F747">
        <f>D747*E747</f>
        <v/>
      </c>
    </row>
    <row r="748">
      <c r="A748" t="inlineStr">
        <is>
          <t>Stevens</t>
        </is>
      </c>
      <c r="B748">
        <f>Inputs_State!$B$1</f>
        <v/>
      </c>
      <c r="C748" t="inlineStr">
        <is>
          <t>Interpreter/Language Services</t>
        </is>
      </c>
      <c r="D748" t="n">
        <v>1648</v>
      </c>
      <c r="E748">
        <f>IFERROR(VLOOKUP(C748,Weights!$A$2:$B$11,2,FALSE),0.6)</f>
        <v/>
      </c>
      <c r="F748">
        <f>D748*E748</f>
        <v/>
      </c>
    </row>
    <row r="749">
      <c r="A749" t="inlineStr">
        <is>
          <t>Stevens</t>
        </is>
      </c>
      <c r="B749">
        <f>Inputs_State!$B$1</f>
        <v/>
      </c>
      <c r="C749" t="inlineStr">
        <is>
          <t>Safety / High Risk Handling</t>
        </is>
      </c>
      <c r="D749" t="n">
        <v>239</v>
      </c>
      <c r="E749">
        <f>IFERROR(VLOOKUP(C749,Weights!$A$2:$B$11,2,FALSE),0.7)</f>
        <v/>
      </c>
      <c r="F749">
        <f>D749*E749</f>
        <v/>
      </c>
    </row>
    <row r="750">
      <c r="A750" t="inlineStr">
        <is>
          <t>Stevens</t>
        </is>
      </c>
      <c r="B750">
        <f>Inputs_State!$B$1</f>
        <v/>
      </c>
      <c r="C750" t="inlineStr">
        <is>
          <t>Incarceration Coordination</t>
        </is>
      </c>
      <c r="D750" t="n">
        <v>5137</v>
      </c>
      <c r="E750">
        <f>IFERROR(VLOOKUP(C750,Weights!$A$2:$B$11,2,FALSE),0.5)</f>
        <v/>
      </c>
      <c r="F750">
        <f>D750*E750</f>
        <v/>
      </c>
    </row>
    <row r="751">
      <c r="A751" t="inlineStr">
        <is>
          <t>Stevens</t>
        </is>
      </c>
      <c r="B751">
        <f>Inputs_State!$B$1</f>
        <v/>
      </c>
      <c r="C751" t="inlineStr">
        <is>
          <t>Unlocatable / Skip Work</t>
        </is>
      </c>
      <c r="D751" t="n">
        <v>355</v>
      </c>
      <c r="E751">
        <f>IFERROR(VLOOKUP(C751,Weights!$A$2:$B$11,2,FALSE),0.8)</f>
        <v/>
      </c>
      <c r="F751">
        <f>D751*E751</f>
        <v/>
      </c>
    </row>
    <row r="752">
      <c r="A752" t="inlineStr">
        <is>
          <t>Swift</t>
        </is>
      </c>
      <c r="B752">
        <f>Inputs_State!$B$1</f>
        <v/>
      </c>
      <c r="C752" t="inlineStr">
        <is>
          <t>Standard Case Work</t>
        </is>
      </c>
      <c r="D752" t="n">
        <v>285</v>
      </c>
      <c r="E752">
        <f>IFERROR(VLOOKUP(C752,Weights!$A$2:$B$11,2,FALSE),1)</f>
        <v/>
      </c>
      <c r="F752">
        <f>D752*E752</f>
        <v/>
      </c>
    </row>
    <row r="753">
      <c r="A753" t="inlineStr">
        <is>
          <t>Swift</t>
        </is>
      </c>
      <c r="B753">
        <f>Inputs_State!$B$1</f>
        <v/>
      </c>
      <c r="C753" t="inlineStr">
        <is>
          <t>Full Locate / Long Locate</t>
        </is>
      </c>
      <c r="D753" t="n">
        <v>442</v>
      </c>
      <c r="E753">
        <f>IFERROR(VLOOKUP(C753,Weights!$A$2:$B$11,2,FALSE),2)</f>
        <v/>
      </c>
      <c r="F753">
        <f>D753*E753</f>
        <v/>
      </c>
    </row>
    <row r="754">
      <c r="A754" t="inlineStr">
        <is>
          <t>Swift</t>
        </is>
      </c>
      <c r="B754">
        <f>Inputs_State!$B$1</f>
        <v/>
      </c>
      <c r="C754" t="inlineStr">
        <is>
          <t>METS / Interstate Complexity</t>
        </is>
      </c>
      <c r="D754" t="n">
        <v>119</v>
      </c>
      <c r="E754">
        <f>IFERROR(VLOOKUP(C754,Weights!$A$2:$B$11,2,FALSE),1.5)</f>
        <v/>
      </c>
      <c r="F754">
        <f>D754*E754</f>
        <v/>
      </c>
    </row>
    <row r="755">
      <c r="A755" t="inlineStr">
        <is>
          <t>Swift</t>
        </is>
      </c>
      <c r="B755">
        <f>Inputs_State!$B$1</f>
        <v/>
      </c>
      <c r="C755" t="inlineStr">
        <is>
          <t>Enforcement / R&amp;M Actions</t>
        </is>
      </c>
      <c r="D755" t="n">
        <v>408</v>
      </c>
      <c r="E755">
        <f>IFERROR(VLOOKUP(C755,Weights!$A$2:$B$11,2,FALSE),1.3)</f>
        <v/>
      </c>
      <c r="F755">
        <f>D755*E755</f>
        <v/>
      </c>
    </row>
    <row r="756">
      <c r="A756" t="inlineStr">
        <is>
          <t>Swift</t>
        </is>
      </c>
      <c r="B756">
        <f>Inputs_State!$B$1</f>
        <v/>
      </c>
      <c r="C756" t="inlineStr">
        <is>
          <t>Customer Contacts - Telephone</t>
        </is>
      </c>
      <c r="D756" t="n">
        <v>2912</v>
      </c>
      <c r="E756">
        <f>IFERROR(VLOOKUP(C756,Weights!$A$2:$B$11,2,FALSE),0.2)</f>
        <v/>
      </c>
      <c r="F756">
        <f>D756*E756</f>
        <v/>
      </c>
    </row>
    <row r="757">
      <c r="A757" t="inlineStr">
        <is>
          <t>Swift</t>
        </is>
      </c>
      <c r="B757">
        <f>Inputs_State!$B$1</f>
        <v/>
      </c>
      <c r="C757" t="inlineStr">
        <is>
          <t>Customer Contacts - Email/Portal</t>
        </is>
      </c>
      <c r="D757" t="n">
        <v>18417</v>
      </c>
      <c r="E757">
        <f>IFERROR(VLOOKUP(C757,Weights!$A$2:$B$11,2,FALSE),0.15)</f>
        <v/>
      </c>
      <c r="F757">
        <f>D757*E757</f>
        <v/>
      </c>
    </row>
    <row r="758">
      <c r="A758" t="inlineStr">
        <is>
          <t>Swift</t>
        </is>
      </c>
      <c r="B758">
        <f>Inputs_State!$B$1</f>
        <v/>
      </c>
      <c r="C758" t="inlineStr">
        <is>
          <t>Interpreter/Language Services</t>
        </is>
      </c>
      <c r="D758" t="n">
        <v>1825</v>
      </c>
      <c r="E758">
        <f>IFERROR(VLOOKUP(C758,Weights!$A$2:$B$11,2,FALSE),0.6)</f>
        <v/>
      </c>
      <c r="F758">
        <f>D758*E758</f>
        <v/>
      </c>
    </row>
    <row r="759">
      <c r="A759" t="inlineStr">
        <is>
          <t>Swift</t>
        </is>
      </c>
      <c r="B759">
        <f>Inputs_State!$B$1</f>
        <v/>
      </c>
      <c r="C759" t="inlineStr">
        <is>
          <t>Safety / High Risk Handling</t>
        </is>
      </c>
      <c r="D759" t="n">
        <v>306</v>
      </c>
      <c r="E759">
        <f>IFERROR(VLOOKUP(C759,Weights!$A$2:$B$11,2,FALSE),0.7)</f>
        <v/>
      </c>
      <c r="F759">
        <f>D759*E759</f>
        <v/>
      </c>
    </row>
    <row r="760">
      <c r="A760" t="inlineStr">
        <is>
          <t>Swift</t>
        </is>
      </c>
      <c r="B760">
        <f>Inputs_State!$B$1</f>
        <v/>
      </c>
      <c r="C760" t="inlineStr">
        <is>
          <t>Incarceration Coordination</t>
        </is>
      </c>
      <c r="D760" t="n">
        <v>5252</v>
      </c>
      <c r="E760">
        <f>IFERROR(VLOOKUP(C760,Weights!$A$2:$B$11,2,FALSE),0.5)</f>
        <v/>
      </c>
      <c r="F760">
        <f>D760*E760</f>
        <v/>
      </c>
    </row>
    <row r="761">
      <c r="A761" t="inlineStr">
        <is>
          <t>Swift</t>
        </is>
      </c>
      <c r="B761">
        <f>Inputs_State!$B$1</f>
        <v/>
      </c>
      <c r="C761" t="inlineStr">
        <is>
          <t>Unlocatable / Skip Work</t>
        </is>
      </c>
      <c r="D761" t="n">
        <v>317</v>
      </c>
      <c r="E761">
        <f>IFERROR(VLOOKUP(C761,Weights!$A$2:$B$11,2,FALSE),0.8)</f>
        <v/>
      </c>
      <c r="F761">
        <f>D761*E761</f>
        <v/>
      </c>
    </row>
    <row r="762">
      <c r="A762" t="inlineStr">
        <is>
          <t>Todd</t>
        </is>
      </c>
      <c r="B762">
        <f>Inputs_State!$B$1</f>
        <v/>
      </c>
      <c r="C762" t="inlineStr">
        <is>
          <t>Standard Case Work</t>
        </is>
      </c>
      <c r="D762" t="n">
        <v>243</v>
      </c>
      <c r="E762">
        <f>IFERROR(VLOOKUP(C762,Weights!$A$2:$B$11,2,FALSE),1)</f>
        <v/>
      </c>
      <c r="F762">
        <f>D762*E762</f>
        <v/>
      </c>
    </row>
    <row r="763">
      <c r="A763" t="inlineStr">
        <is>
          <t>Todd</t>
        </is>
      </c>
      <c r="B763">
        <f>Inputs_State!$B$1</f>
        <v/>
      </c>
      <c r="C763" t="inlineStr">
        <is>
          <t>Full Locate / Long Locate</t>
        </is>
      </c>
      <c r="D763" t="n">
        <v>418</v>
      </c>
      <c r="E763">
        <f>IFERROR(VLOOKUP(C763,Weights!$A$2:$B$11,2,FALSE),2)</f>
        <v/>
      </c>
      <c r="F763">
        <f>D763*E763</f>
        <v/>
      </c>
    </row>
    <row r="764">
      <c r="A764" t="inlineStr">
        <is>
          <t>Todd</t>
        </is>
      </c>
      <c r="B764">
        <f>Inputs_State!$B$1</f>
        <v/>
      </c>
      <c r="C764" t="inlineStr">
        <is>
          <t>METS / Interstate Complexity</t>
        </is>
      </c>
      <c r="D764" t="n">
        <v>125</v>
      </c>
      <c r="E764">
        <f>IFERROR(VLOOKUP(C764,Weights!$A$2:$B$11,2,FALSE),1.5)</f>
        <v/>
      </c>
      <c r="F764">
        <f>D764*E764</f>
        <v/>
      </c>
    </row>
    <row r="765">
      <c r="A765" t="inlineStr">
        <is>
          <t>Todd</t>
        </is>
      </c>
      <c r="B765">
        <f>Inputs_State!$B$1</f>
        <v/>
      </c>
      <c r="C765" t="inlineStr">
        <is>
          <t>Enforcement / R&amp;M Actions</t>
        </is>
      </c>
      <c r="D765" t="n">
        <v>439</v>
      </c>
      <c r="E765">
        <f>IFERROR(VLOOKUP(C765,Weights!$A$2:$B$11,2,FALSE),1.3)</f>
        <v/>
      </c>
      <c r="F765">
        <f>D765*E765</f>
        <v/>
      </c>
    </row>
    <row r="766">
      <c r="A766" t="inlineStr">
        <is>
          <t>Todd</t>
        </is>
      </c>
      <c r="B766">
        <f>Inputs_State!$B$1</f>
        <v/>
      </c>
      <c r="C766" t="inlineStr">
        <is>
          <t>Customer Contacts - Telephone</t>
        </is>
      </c>
      <c r="D766" t="n">
        <v>2514</v>
      </c>
      <c r="E766">
        <f>IFERROR(VLOOKUP(C766,Weights!$A$2:$B$11,2,FALSE),0.2)</f>
        <v/>
      </c>
      <c r="F766">
        <f>D766*E766</f>
        <v/>
      </c>
    </row>
    <row r="767">
      <c r="A767" t="inlineStr">
        <is>
          <t>Todd</t>
        </is>
      </c>
      <c r="B767">
        <f>Inputs_State!$B$1</f>
        <v/>
      </c>
      <c r="C767" t="inlineStr">
        <is>
          <t>Customer Contacts - Email/Portal</t>
        </is>
      </c>
      <c r="D767" t="n">
        <v>18806</v>
      </c>
      <c r="E767">
        <f>IFERROR(VLOOKUP(C767,Weights!$A$2:$B$11,2,FALSE),0.15)</f>
        <v/>
      </c>
      <c r="F767">
        <f>D767*E767</f>
        <v/>
      </c>
    </row>
    <row r="768">
      <c r="A768" t="inlineStr">
        <is>
          <t>Todd</t>
        </is>
      </c>
      <c r="B768">
        <f>Inputs_State!$B$1</f>
        <v/>
      </c>
      <c r="C768" t="inlineStr">
        <is>
          <t>Interpreter/Language Services</t>
        </is>
      </c>
      <c r="D768" t="n">
        <v>1494</v>
      </c>
      <c r="E768">
        <f>IFERROR(VLOOKUP(C768,Weights!$A$2:$B$11,2,FALSE),0.6)</f>
        <v/>
      </c>
      <c r="F768">
        <f>D768*E768</f>
        <v/>
      </c>
    </row>
    <row r="769">
      <c r="A769" t="inlineStr">
        <is>
          <t>Todd</t>
        </is>
      </c>
      <c r="B769">
        <f>Inputs_State!$B$1</f>
        <v/>
      </c>
      <c r="C769" t="inlineStr">
        <is>
          <t>Safety / High Risk Handling</t>
        </is>
      </c>
      <c r="D769" t="n">
        <v>230</v>
      </c>
      <c r="E769">
        <f>IFERROR(VLOOKUP(C769,Weights!$A$2:$B$11,2,FALSE),0.7)</f>
        <v/>
      </c>
      <c r="F769">
        <f>D769*E769</f>
        <v/>
      </c>
    </row>
    <row r="770">
      <c r="A770" t="inlineStr">
        <is>
          <t>Todd</t>
        </is>
      </c>
      <c r="B770">
        <f>Inputs_State!$B$1</f>
        <v/>
      </c>
      <c r="C770" t="inlineStr">
        <is>
          <t>Incarceration Coordination</t>
        </is>
      </c>
      <c r="D770" t="n">
        <v>4173</v>
      </c>
      <c r="E770">
        <f>IFERROR(VLOOKUP(C770,Weights!$A$2:$B$11,2,FALSE),0.5)</f>
        <v/>
      </c>
      <c r="F770">
        <f>D770*E770</f>
        <v/>
      </c>
    </row>
    <row r="771">
      <c r="A771" t="inlineStr">
        <is>
          <t>Todd</t>
        </is>
      </c>
      <c r="B771">
        <f>Inputs_State!$B$1</f>
        <v/>
      </c>
      <c r="C771" t="inlineStr">
        <is>
          <t>Unlocatable / Skip Work</t>
        </is>
      </c>
      <c r="D771" t="n">
        <v>277</v>
      </c>
      <c r="E771">
        <f>IFERROR(VLOOKUP(C771,Weights!$A$2:$B$11,2,FALSE),0.8)</f>
        <v/>
      </c>
      <c r="F771">
        <f>D771*E771</f>
        <v/>
      </c>
    </row>
    <row r="772">
      <c r="A772" t="inlineStr">
        <is>
          <t>Traverse</t>
        </is>
      </c>
      <c r="B772">
        <f>Inputs_State!$B$1</f>
        <v/>
      </c>
      <c r="C772" t="inlineStr">
        <is>
          <t>Standard Case Work</t>
        </is>
      </c>
      <c r="D772" t="n">
        <v>128</v>
      </c>
      <c r="E772">
        <f>IFERROR(VLOOKUP(C772,Weights!$A$2:$B$11,2,FALSE),1)</f>
        <v/>
      </c>
      <c r="F772">
        <f>D772*E772</f>
        <v/>
      </c>
    </row>
    <row r="773">
      <c r="A773" t="inlineStr">
        <is>
          <t>Traverse</t>
        </is>
      </c>
      <c r="B773">
        <f>Inputs_State!$B$1</f>
        <v/>
      </c>
      <c r="C773" t="inlineStr">
        <is>
          <t>Full Locate / Long Locate</t>
        </is>
      </c>
      <c r="D773" t="n">
        <v>255</v>
      </c>
      <c r="E773">
        <f>IFERROR(VLOOKUP(C773,Weights!$A$2:$B$11,2,FALSE),2)</f>
        <v/>
      </c>
      <c r="F773">
        <f>D773*E773</f>
        <v/>
      </c>
    </row>
    <row r="774">
      <c r="A774" t="inlineStr">
        <is>
          <t>Traverse</t>
        </is>
      </c>
      <c r="B774">
        <f>Inputs_State!$B$1</f>
        <v/>
      </c>
      <c r="C774" t="inlineStr">
        <is>
          <t>METS / Interstate Complexity</t>
        </is>
      </c>
      <c r="D774" t="n">
        <v>70</v>
      </c>
      <c r="E774">
        <f>IFERROR(VLOOKUP(C774,Weights!$A$2:$B$11,2,FALSE),1.5)</f>
        <v/>
      </c>
      <c r="F774">
        <f>D774*E774</f>
        <v/>
      </c>
    </row>
    <row r="775">
      <c r="A775" t="inlineStr">
        <is>
          <t>Traverse</t>
        </is>
      </c>
      <c r="B775">
        <f>Inputs_State!$B$1</f>
        <v/>
      </c>
      <c r="C775" t="inlineStr">
        <is>
          <t>Enforcement / R&amp;M Actions</t>
        </is>
      </c>
      <c r="D775" t="n">
        <v>245</v>
      </c>
      <c r="E775">
        <f>IFERROR(VLOOKUP(C775,Weights!$A$2:$B$11,2,FALSE),1.3)</f>
        <v/>
      </c>
      <c r="F775">
        <f>D775*E775</f>
        <v/>
      </c>
    </row>
    <row r="776">
      <c r="A776" t="inlineStr">
        <is>
          <t>Traverse</t>
        </is>
      </c>
      <c r="B776">
        <f>Inputs_State!$B$1</f>
        <v/>
      </c>
      <c r="C776" t="inlineStr">
        <is>
          <t>Customer Contacts - Telephone</t>
        </is>
      </c>
      <c r="D776" t="n">
        <v>1609</v>
      </c>
      <c r="E776">
        <f>IFERROR(VLOOKUP(C776,Weights!$A$2:$B$11,2,FALSE),0.2)</f>
        <v/>
      </c>
      <c r="F776">
        <f>D776*E776</f>
        <v/>
      </c>
    </row>
    <row r="777">
      <c r="A777" t="inlineStr">
        <is>
          <t>Traverse</t>
        </is>
      </c>
      <c r="B777">
        <f>Inputs_State!$B$1</f>
        <v/>
      </c>
      <c r="C777" t="inlineStr">
        <is>
          <t>Customer Contacts - Email/Portal</t>
        </is>
      </c>
      <c r="D777" t="n">
        <v>9721</v>
      </c>
      <c r="E777">
        <f>IFERROR(VLOOKUP(C777,Weights!$A$2:$B$11,2,FALSE),0.15)</f>
        <v/>
      </c>
      <c r="F777">
        <f>D777*E777</f>
        <v/>
      </c>
    </row>
    <row r="778">
      <c r="A778" t="inlineStr">
        <is>
          <t>Traverse</t>
        </is>
      </c>
      <c r="B778">
        <f>Inputs_State!$B$1</f>
        <v/>
      </c>
      <c r="C778" t="inlineStr">
        <is>
          <t>Interpreter/Language Services</t>
        </is>
      </c>
      <c r="D778" t="n">
        <v>833</v>
      </c>
      <c r="E778">
        <f>IFERROR(VLOOKUP(C778,Weights!$A$2:$B$11,2,FALSE),0.6)</f>
        <v/>
      </c>
      <c r="F778">
        <f>D778*E778</f>
        <v/>
      </c>
    </row>
    <row r="779">
      <c r="A779" t="inlineStr">
        <is>
          <t>Traverse</t>
        </is>
      </c>
      <c r="B779">
        <f>Inputs_State!$B$1</f>
        <v/>
      </c>
      <c r="C779" t="inlineStr">
        <is>
          <t>Safety / High Risk Handling</t>
        </is>
      </c>
      <c r="D779" t="n">
        <v>138</v>
      </c>
      <c r="E779">
        <f>IFERROR(VLOOKUP(C779,Weights!$A$2:$B$11,2,FALSE),0.7)</f>
        <v/>
      </c>
      <c r="F779">
        <f>D779*E779</f>
        <v/>
      </c>
    </row>
    <row r="780">
      <c r="A780" t="inlineStr">
        <is>
          <t>Traverse</t>
        </is>
      </c>
      <c r="B780">
        <f>Inputs_State!$B$1</f>
        <v/>
      </c>
      <c r="C780" t="inlineStr">
        <is>
          <t>Incarceration Coordination</t>
        </is>
      </c>
      <c r="D780" t="n">
        <v>3033</v>
      </c>
      <c r="E780">
        <f>IFERROR(VLOOKUP(C780,Weights!$A$2:$B$11,2,FALSE),0.5)</f>
        <v/>
      </c>
      <c r="F780">
        <f>D780*E780</f>
        <v/>
      </c>
    </row>
    <row r="781">
      <c r="A781" t="inlineStr">
        <is>
          <t>Traverse</t>
        </is>
      </c>
      <c r="B781">
        <f>Inputs_State!$B$1</f>
        <v/>
      </c>
      <c r="C781" t="inlineStr">
        <is>
          <t>Unlocatable / Skip Work</t>
        </is>
      </c>
      <c r="D781" t="n">
        <v>164</v>
      </c>
      <c r="E781">
        <f>IFERROR(VLOOKUP(C781,Weights!$A$2:$B$11,2,FALSE),0.8)</f>
        <v/>
      </c>
      <c r="F781">
        <f>D781*E781</f>
        <v/>
      </c>
    </row>
    <row r="782">
      <c r="A782" t="inlineStr">
        <is>
          <t>Wabasha</t>
        </is>
      </c>
      <c r="B782">
        <f>Inputs_State!$B$1</f>
        <v/>
      </c>
      <c r="C782" t="inlineStr">
        <is>
          <t>Standard Case Work</t>
        </is>
      </c>
      <c r="D782" t="n">
        <v>213</v>
      </c>
      <c r="E782">
        <f>IFERROR(VLOOKUP(C782,Weights!$A$2:$B$11,2,FALSE),1)</f>
        <v/>
      </c>
      <c r="F782">
        <f>D782*E782</f>
        <v/>
      </c>
    </row>
    <row r="783">
      <c r="A783" t="inlineStr">
        <is>
          <t>Wabasha</t>
        </is>
      </c>
      <c r="B783">
        <f>Inputs_State!$B$1</f>
        <v/>
      </c>
      <c r="C783" t="inlineStr">
        <is>
          <t>Full Locate / Long Locate</t>
        </is>
      </c>
      <c r="D783" t="n">
        <v>411</v>
      </c>
      <c r="E783">
        <f>IFERROR(VLOOKUP(C783,Weights!$A$2:$B$11,2,FALSE),2)</f>
        <v/>
      </c>
      <c r="F783">
        <f>D783*E783</f>
        <v/>
      </c>
    </row>
    <row r="784">
      <c r="A784" t="inlineStr">
        <is>
          <t>Wabasha</t>
        </is>
      </c>
      <c r="B784">
        <f>Inputs_State!$B$1</f>
        <v/>
      </c>
      <c r="C784" t="inlineStr">
        <is>
          <t>METS / Interstate Complexity</t>
        </is>
      </c>
      <c r="D784" t="n">
        <v>110</v>
      </c>
      <c r="E784">
        <f>IFERROR(VLOOKUP(C784,Weights!$A$2:$B$11,2,FALSE),1.5)</f>
        <v/>
      </c>
      <c r="F784">
        <f>D784*E784</f>
        <v/>
      </c>
    </row>
    <row r="785">
      <c r="A785" t="inlineStr">
        <is>
          <t>Wabasha</t>
        </is>
      </c>
      <c r="B785">
        <f>Inputs_State!$B$1</f>
        <v/>
      </c>
      <c r="C785" t="inlineStr">
        <is>
          <t>Enforcement / R&amp;M Actions</t>
        </is>
      </c>
      <c r="D785" t="n">
        <v>320</v>
      </c>
      <c r="E785">
        <f>IFERROR(VLOOKUP(C785,Weights!$A$2:$B$11,2,FALSE),1.3)</f>
        <v/>
      </c>
      <c r="F785">
        <f>D785*E785</f>
        <v/>
      </c>
    </row>
    <row r="786">
      <c r="A786" t="inlineStr">
        <is>
          <t>Wabasha</t>
        </is>
      </c>
      <c r="B786">
        <f>Inputs_State!$B$1</f>
        <v/>
      </c>
      <c r="C786" t="inlineStr">
        <is>
          <t>Customer Contacts - Telephone</t>
        </is>
      </c>
      <c r="D786" t="n">
        <v>2639</v>
      </c>
      <c r="E786">
        <f>IFERROR(VLOOKUP(C786,Weights!$A$2:$B$11,2,FALSE),0.2)</f>
        <v/>
      </c>
      <c r="F786">
        <f>D786*E786</f>
        <v/>
      </c>
    </row>
    <row r="787">
      <c r="A787" t="inlineStr">
        <is>
          <t>Wabasha</t>
        </is>
      </c>
      <c r="B787">
        <f>Inputs_State!$B$1</f>
        <v/>
      </c>
      <c r="C787" t="inlineStr">
        <is>
          <t>Customer Contacts - Email/Portal</t>
        </is>
      </c>
      <c r="D787" t="n">
        <v>14430</v>
      </c>
      <c r="E787">
        <f>IFERROR(VLOOKUP(C787,Weights!$A$2:$B$11,2,FALSE),0.15)</f>
        <v/>
      </c>
      <c r="F787">
        <f>D787*E787</f>
        <v/>
      </c>
    </row>
    <row r="788">
      <c r="A788" t="inlineStr">
        <is>
          <t>Wabasha</t>
        </is>
      </c>
      <c r="B788">
        <f>Inputs_State!$B$1</f>
        <v/>
      </c>
      <c r="C788" t="inlineStr">
        <is>
          <t>Interpreter/Language Services</t>
        </is>
      </c>
      <c r="D788" t="n">
        <v>1471</v>
      </c>
      <c r="E788">
        <f>IFERROR(VLOOKUP(C788,Weights!$A$2:$B$11,2,FALSE),0.6)</f>
        <v/>
      </c>
      <c r="F788">
        <f>D788*E788</f>
        <v/>
      </c>
    </row>
    <row r="789">
      <c r="A789" t="inlineStr">
        <is>
          <t>Wabasha</t>
        </is>
      </c>
      <c r="B789">
        <f>Inputs_State!$B$1</f>
        <v/>
      </c>
      <c r="C789" t="inlineStr">
        <is>
          <t>Safety / High Risk Handling</t>
        </is>
      </c>
      <c r="D789" t="n">
        <v>239</v>
      </c>
      <c r="E789">
        <f>IFERROR(VLOOKUP(C789,Weights!$A$2:$B$11,2,FALSE),0.7)</f>
        <v/>
      </c>
      <c r="F789">
        <f>D789*E789</f>
        <v/>
      </c>
    </row>
    <row r="790">
      <c r="A790" t="inlineStr">
        <is>
          <t>Wabasha</t>
        </is>
      </c>
      <c r="B790">
        <f>Inputs_State!$B$1</f>
        <v/>
      </c>
      <c r="C790" t="inlineStr">
        <is>
          <t>Incarceration Coordination</t>
        </is>
      </c>
      <c r="D790" t="n">
        <v>4353</v>
      </c>
      <c r="E790">
        <f>IFERROR(VLOOKUP(C790,Weights!$A$2:$B$11,2,FALSE),0.5)</f>
        <v/>
      </c>
      <c r="F790">
        <f>D790*E790</f>
        <v/>
      </c>
    </row>
    <row r="791">
      <c r="A791" t="inlineStr">
        <is>
          <t>Wabasha</t>
        </is>
      </c>
      <c r="B791">
        <f>Inputs_State!$B$1</f>
        <v/>
      </c>
      <c r="C791" t="inlineStr">
        <is>
          <t>Unlocatable / Skip Work</t>
        </is>
      </c>
      <c r="D791" t="n">
        <v>286</v>
      </c>
      <c r="E791">
        <f>IFERROR(VLOOKUP(C791,Weights!$A$2:$B$11,2,FALSE),0.8)</f>
        <v/>
      </c>
      <c r="F791">
        <f>D791*E791</f>
        <v/>
      </c>
    </row>
    <row r="792">
      <c r="A792" t="inlineStr">
        <is>
          <t>Wadena</t>
        </is>
      </c>
      <c r="B792">
        <f>Inputs_State!$B$1</f>
        <v/>
      </c>
      <c r="C792" t="inlineStr">
        <is>
          <t>Standard Case Work</t>
        </is>
      </c>
      <c r="D792" t="n">
        <v>174</v>
      </c>
      <c r="E792">
        <f>IFERROR(VLOOKUP(C792,Weights!$A$2:$B$11,2,FALSE),1)</f>
        <v/>
      </c>
      <c r="F792">
        <f>D792*E792</f>
        <v/>
      </c>
    </row>
    <row r="793">
      <c r="A793" t="inlineStr">
        <is>
          <t>Wadena</t>
        </is>
      </c>
      <c r="B793">
        <f>Inputs_State!$B$1</f>
        <v/>
      </c>
      <c r="C793" t="inlineStr">
        <is>
          <t>Full Locate / Long Locate</t>
        </is>
      </c>
      <c r="D793" t="n">
        <v>319</v>
      </c>
      <c r="E793">
        <f>IFERROR(VLOOKUP(C793,Weights!$A$2:$B$11,2,FALSE),2)</f>
        <v/>
      </c>
      <c r="F793">
        <f>D793*E793</f>
        <v/>
      </c>
    </row>
    <row r="794">
      <c r="A794" t="inlineStr">
        <is>
          <t>Wadena</t>
        </is>
      </c>
      <c r="B794">
        <f>Inputs_State!$B$1</f>
        <v/>
      </c>
      <c r="C794" t="inlineStr">
        <is>
          <t>METS / Interstate Complexity</t>
        </is>
      </c>
      <c r="D794" t="n">
        <v>90</v>
      </c>
      <c r="E794">
        <f>IFERROR(VLOOKUP(C794,Weights!$A$2:$B$11,2,FALSE),1.5)</f>
        <v/>
      </c>
      <c r="F794">
        <f>D794*E794</f>
        <v/>
      </c>
    </row>
    <row r="795">
      <c r="A795" t="inlineStr">
        <is>
          <t>Wadena</t>
        </is>
      </c>
      <c r="B795">
        <f>Inputs_State!$B$1</f>
        <v/>
      </c>
      <c r="C795" t="inlineStr">
        <is>
          <t>Enforcement / R&amp;M Actions</t>
        </is>
      </c>
      <c r="D795" t="n">
        <v>274</v>
      </c>
      <c r="E795">
        <f>IFERROR(VLOOKUP(C795,Weights!$A$2:$B$11,2,FALSE),1.3)</f>
        <v/>
      </c>
      <c r="F795">
        <f>D795*E795</f>
        <v/>
      </c>
    </row>
    <row r="796">
      <c r="A796" t="inlineStr">
        <is>
          <t>Wadena</t>
        </is>
      </c>
      <c r="B796">
        <f>Inputs_State!$B$1</f>
        <v/>
      </c>
      <c r="C796" t="inlineStr">
        <is>
          <t>Customer Contacts - Telephone</t>
        </is>
      </c>
      <c r="D796" t="n">
        <v>1885</v>
      </c>
      <c r="E796">
        <f>IFERROR(VLOOKUP(C796,Weights!$A$2:$B$11,2,FALSE),0.2)</f>
        <v/>
      </c>
      <c r="F796">
        <f>D796*E796</f>
        <v/>
      </c>
    </row>
    <row r="797">
      <c r="A797" t="inlineStr">
        <is>
          <t>Wadena</t>
        </is>
      </c>
      <c r="B797">
        <f>Inputs_State!$B$1</f>
        <v/>
      </c>
      <c r="C797" t="inlineStr">
        <is>
          <t>Customer Contacts - Email/Portal</t>
        </is>
      </c>
      <c r="D797" t="n">
        <v>13562</v>
      </c>
      <c r="E797">
        <f>IFERROR(VLOOKUP(C797,Weights!$A$2:$B$11,2,FALSE),0.15)</f>
        <v/>
      </c>
      <c r="F797">
        <f>D797*E797</f>
        <v/>
      </c>
    </row>
    <row r="798">
      <c r="A798" t="inlineStr">
        <is>
          <t>Wadena</t>
        </is>
      </c>
      <c r="B798">
        <f>Inputs_State!$B$1</f>
        <v/>
      </c>
      <c r="C798" t="inlineStr">
        <is>
          <t>Interpreter/Language Services</t>
        </is>
      </c>
      <c r="D798" t="n">
        <v>857</v>
      </c>
      <c r="E798">
        <f>IFERROR(VLOOKUP(C798,Weights!$A$2:$B$11,2,FALSE),0.6)</f>
        <v/>
      </c>
      <c r="F798">
        <f>D798*E798</f>
        <v/>
      </c>
    </row>
    <row r="799">
      <c r="A799" t="inlineStr">
        <is>
          <t>Wadena</t>
        </is>
      </c>
      <c r="B799">
        <f>Inputs_State!$B$1</f>
        <v/>
      </c>
      <c r="C799" t="inlineStr">
        <is>
          <t>Safety / High Risk Handling</t>
        </is>
      </c>
      <c r="D799" t="n">
        <v>176</v>
      </c>
      <c r="E799">
        <f>IFERROR(VLOOKUP(C799,Weights!$A$2:$B$11,2,FALSE),0.7)</f>
        <v/>
      </c>
      <c r="F799">
        <f>D799*E799</f>
        <v/>
      </c>
    </row>
    <row r="800">
      <c r="A800" t="inlineStr">
        <is>
          <t>Wadena</t>
        </is>
      </c>
      <c r="B800">
        <f>Inputs_State!$B$1</f>
        <v/>
      </c>
      <c r="C800" t="inlineStr">
        <is>
          <t>Incarceration Coordination</t>
        </is>
      </c>
      <c r="D800" t="n">
        <v>3623</v>
      </c>
      <c r="E800">
        <f>IFERROR(VLOOKUP(C800,Weights!$A$2:$B$11,2,FALSE),0.5)</f>
        <v/>
      </c>
      <c r="F800">
        <f>D800*E800</f>
        <v/>
      </c>
    </row>
    <row r="801">
      <c r="A801" t="inlineStr">
        <is>
          <t>Wadena</t>
        </is>
      </c>
      <c r="B801">
        <f>Inputs_State!$B$1</f>
        <v/>
      </c>
      <c r="C801" t="inlineStr">
        <is>
          <t>Unlocatable / Skip Work</t>
        </is>
      </c>
      <c r="D801" t="n">
        <v>233</v>
      </c>
      <c r="E801">
        <f>IFERROR(VLOOKUP(C801,Weights!$A$2:$B$11,2,FALSE),0.8)</f>
        <v/>
      </c>
      <c r="F801">
        <f>D801*E801</f>
        <v/>
      </c>
    </row>
    <row r="802">
      <c r="A802" t="inlineStr">
        <is>
          <t>Washington</t>
        </is>
      </c>
      <c r="B802">
        <f>Inputs_State!$B$1</f>
        <v/>
      </c>
      <c r="C802" t="inlineStr">
        <is>
          <t>Standard Case Work</t>
        </is>
      </c>
      <c r="D802" t="n">
        <v>861</v>
      </c>
      <c r="E802">
        <f>IFERROR(VLOOKUP(C802,Weights!$A$2:$B$11,2,FALSE),1)</f>
        <v/>
      </c>
      <c r="F802">
        <f>D802*E802</f>
        <v/>
      </c>
    </row>
    <row r="803">
      <c r="A803" t="inlineStr">
        <is>
          <t>Washington</t>
        </is>
      </c>
      <c r="B803">
        <f>Inputs_State!$B$1</f>
        <v/>
      </c>
      <c r="C803" t="inlineStr">
        <is>
          <t>Full Locate / Long Locate</t>
        </is>
      </c>
      <c r="D803" t="n">
        <v>1725</v>
      </c>
      <c r="E803">
        <f>IFERROR(VLOOKUP(C803,Weights!$A$2:$B$11,2,FALSE),2)</f>
        <v/>
      </c>
      <c r="F803">
        <f>D803*E803</f>
        <v/>
      </c>
    </row>
    <row r="804">
      <c r="A804" t="inlineStr">
        <is>
          <t>Washington</t>
        </is>
      </c>
      <c r="B804">
        <f>Inputs_State!$B$1</f>
        <v/>
      </c>
      <c r="C804" t="inlineStr">
        <is>
          <t>METS / Interstate Complexity</t>
        </is>
      </c>
      <c r="D804" t="n">
        <v>433</v>
      </c>
      <c r="E804">
        <f>IFERROR(VLOOKUP(C804,Weights!$A$2:$B$11,2,FALSE),1.5)</f>
        <v/>
      </c>
      <c r="F804">
        <f>D804*E804</f>
        <v/>
      </c>
    </row>
    <row r="805">
      <c r="A805" t="inlineStr">
        <is>
          <t>Washington</t>
        </is>
      </c>
      <c r="B805">
        <f>Inputs_State!$B$1</f>
        <v/>
      </c>
      <c r="C805" t="inlineStr">
        <is>
          <t>Enforcement / R&amp;M Actions</t>
        </is>
      </c>
      <c r="D805" t="n">
        <v>1657</v>
      </c>
      <c r="E805">
        <f>IFERROR(VLOOKUP(C805,Weights!$A$2:$B$11,2,FALSE),1.3)</f>
        <v/>
      </c>
      <c r="F805">
        <f>D805*E805</f>
        <v/>
      </c>
    </row>
    <row r="806">
      <c r="A806" t="inlineStr">
        <is>
          <t>Washington</t>
        </is>
      </c>
      <c r="B806">
        <f>Inputs_State!$B$1</f>
        <v/>
      </c>
      <c r="C806" t="inlineStr">
        <is>
          <t>Customer Contacts - Telephone</t>
        </is>
      </c>
      <c r="D806" t="n">
        <v>11063</v>
      </c>
      <c r="E806">
        <f>IFERROR(VLOOKUP(C806,Weights!$A$2:$B$11,2,FALSE),0.2)</f>
        <v/>
      </c>
      <c r="F806">
        <f>D806*E806</f>
        <v/>
      </c>
    </row>
    <row r="807">
      <c r="A807" t="inlineStr">
        <is>
          <t>Washington</t>
        </is>
      </c>
      <c r="B807">
        <f>Inputs_State!$B$1</f>
        <v/>
      </c>
      <c r="C807" t="inlineStr">
        <is>
          <t>Customer Contacts - Email/Portal</t>
        </is>
      </c>
      <c r="D807" t="n">
        <v>63150</v>
      </c>
      <c r="E807">
        <f>IFERROR(VLOOKUP(C807,Weights!$A$2:$B$11,2,FALSE),0.15)</f>
        <v/>
      </c>
      <c r="F807">
        <f>D807*E807</f>
        <v/>
      </c>
    </row>
    <row r="808">
      <c r="A808" t="inlineStr">
        <is>
          <t>Washington</t>
        </is>
      </c>
      <c r="B808">
        <f>Inputs_State!$B$1</f>
        <v/>
      </c>
      <c r="C808" t="inlineStr">
        <is>
          <t>Interpreter/Language Services</t>
        </is>
      </c>
      <c r="D808" t="n">
        <v>6292</v>
      </c>
      <c r="E808">
        <f>IFERROR(VLOOKUP(C808,Weights!$A$2:$B$11,2,FALSE),0.6)</f>
        <v/>
      </c>
      <c r="F808">
        <f>D808*E808</f>
        <v/>
      </c>
    </row>
    <row r="809">
      <c r="A809" t="inlineStr">
        <is>
          <t>Washington</t>
        </is>
      </c>
      <c r="B809">
        <f>Inputs_State!$B$1</f>
        <v/>
      </c>
      <c r="C809" t="inlineStr">
        <is>
          <t>Safety / High Risk Handling</t>
        </is>
      </c>
      <c r="D809" t="n">
        <v>1063</v>
      </c>
      <c r="E809">
        <f>IFERROR(VLOOKUP(C809,Weights!$A$2:$B$11,2,FALSE),0.7)</f>
        <v/>
      </c>
      <c r="F809">
        <f>D809*E809</f>
        <v/>
      </c>
    </row>
    <row r="810">
      <c r="A810" t="inlineStr">
        <is>
          <t>Washington</t>
        </is>
      </c>
      <c r="B810">
        <f>Inputs_State!$B$1</f>
        <v/>
      </c>
      <c r="C810" t="inlineStr">
        <is>
          <t>Incarceration Coordination</t>
        </is>
      </c>
      <c r="D810" t="n">
        <v>16778</v>
      </c>
      <c r="E810">
        <f>IFERROR(VLOOKUP(C810,Weights!$A$2:$B$11,2,FALSE),0.5)</f>
        <v/>
      </c>
      <c r="F810">
        <f>D810*E810</f>
        <v/>
      </c>
    </row>
    <row r="811">
      <c r="A811" t="inlineStr">
        <is>
          <t>Washington</t>
        </is>
      </c>
      <c r="B811">
        <f>Inputs_State!$B$1</f>
        <v/>
      </c>
      <c r="C811" t="inlineStr">
        <is>
          <t>Unlocatable / Skip Work</t>
        </is>
      </c>
      <c r="D811" t="n">
        <v>1102</v>
      </c>
      <c r="E811">
        <f>IFERROR(VLOOKUP(C811,Weights!$A$2:$B$11,2,FALSE),0.8)</f>
        <v/>
      </c>
      <c r="F811">
        <f>D811*E811</f>
        <v/>
      </c>
    </row>
    <row r="812">
      <c r="A812" t="inlineStr">
        <is>
          <t>Watonwan</t>
        </is>
      </c>
      <c r="B812">
        <f>Inputs_State!$B$1</f>
        <v/>
      </c>
      <c r="C812" t="inlineStr">
        <is>
          <t>Standard Case Work</t>
        </is>
      </c>
      <c r="D812" t="n">
        <v>164</v>
      </c>
      <c r="E812">
        <f>IFERROR(VLOOKUP(C812,Weights!$A$2:$B$11,2,FALSE),1)</f>
        <v/>
      </c>
      <c r="F812">
        <f>D812*E812</f>
        <v/>
      </c>
    </row>
    <row r="813">
      <c r="A813" t="inlineStr">
        <is>
          <t>Watonwan</t>
        </is>
      </c>
      <c r="B813">
        <f>Inputs_State!$B$1</f>
        <v/>
      </c>
      <c r="C813" t="inlineStr">
        <is>
          <t>Full Locate / Long Locate</t>
        </is>
      </c>
      <c r="D813" t="n">
        <v>313</v>
      </c>
      <c r="E813">
        <f>IFERROR(VLOOKUP(C813,Weights!$A$2:$B$11,2,FALSE),2)</f>
        <v/>
      </c>
      <c r="F813">
        <f>D813*E813</f>
        <v/>
      </c>
    </row>
    <row r="814">
      <c r="A814" t="inlineStr">
        <is>
          <t>Watonwan</t>
        </is>
      </c>
      <c r="B814">
        <f>Inputs_State!$B$1</f>
        <v/>
      </c>
      <c r="C814" t="inlineStr">
        <is>
          <t>METS / Interstate Complexity</t>
        </is>
      </c>
      <c r="D814" t="n">
        <v>88</v>
      </c>
      <c r="E814">
        <f>IFERROR(VLOOKUP(C814,Weights!$A$2:$B$11,2,FALSE),1.5)</f>
        <v/>
      </c>
      <c r="F814">
        <f>D814*E814</f>
        <v/>
      </c>
    </row>
    <row r="815">
      <c r="A815" t="inlineStr">
        <is>
          <t>Watonwan</t>
        </is>
      </c>
      <c r="B815">
        <f>Inputs_State!$B$1</f>
        <v/>
      </c>
      <c r="C815" t="inlineStr">
        <is>
          <t>Enforcement / R&amp;M Actions</t>
        </is>
      </c>
      <c r="D815" t="n">
        <v>258</v>
      </c>
      <c r="E815">
        <f>IFERROR(VLOOKUP(C815,Weights!$A$2:$B$11,2,FALSE),1.3)</f>
        <v/>
      </c>
      <c r="F815">
        <f>D815*E815</f>
        <v/>
      </c>
    </row>
    <row r="816">
      <c r="A816" t="inlineStr">
        <is>
          <t>Watonwan</t>
        </is>
      </c>
      <c r="B816">
        <f>Inputs_State!$B$1</f>
        <v/>
      </c>
      <c r="C816" t="inlineStr">
        <is>
          <t>Customer Contacts - Telephone</t>
        </is>
      </c>
      <c r="D816" t="n">
        <v>1591</v>
      </c>
      <c r="E816">
        <f>IFERROR(VLOOKUP(C816,Weights!$A$2:$B$11,2,FALSE),0.2)</f>
        <v/>
      </c>
      <c r="F816">
        <f>D816*E816</f>
        <v/>
      </c>
    </row>
    <row r="817">
      <c r="A817" t="inlineStr">
        <is>
          <t>Watonwan</t>
        </is>
      </c>
      <c r="B817">
        <f>Inputs_State!$B$1</f>
        <v/>
      </c>
      <c r="C817" t="inlineStr">
        <is>
          <t>Customer Contacts - Email/Portal</t>
        </is>
      </c>
      <c r="D817" t="n">
        <v>10567</v>
      </c>
      <c r="E817">
        <f>IFERROR(VLOOKUP(C817,Weights!$A$2:$B$11,2,FALSE),0.15)</f>
        <v/>
      </c>
      <c r="F817">
        <f>D817*E817</f>
        <v/>
      </c>
    </row>
    <row r="818">
      <c r="A818" t="inlineStr">
        <is>
          <t>Watonwan</t>
        </is>
      </c>
      <c r="B818">
        <f>Inputs_State!$B$1</f>
        <v/>
      </c>
      <c r="C818" t="inlineStr">
        <is>
          <t>Interpreter/Language Services</t>
        </is>
      </c>
      <c r="D818" t="n">
        <v>1113</v>
      </c>
      <c r="E818">
        <f>IFERROR(VLOOKUP(C818,Weights!$A$2:$B$11,2,FALSE),0.6)</f>
        <v/>
      </c>
      <c r="F818">
        <f>D818*E818</f>
        <v/>
      </c>
    </row>
    <row r="819">
      <c r="A819" t="inlineStr">
        <is>
          <t>Watonwan</t>
        </is>
      </c>
      <c r="B819">
        <f>Inputs_State!$B$1</f>
        <v/>
      </c>
      <c r="C819" t="inlineStr">
        <is>
          <t>Safety / High Risk Handling</t>
        </is>
      </c>
      <c r="D819" t="n">
        <v>186</v>
      </c>
      <c r="E819">
        <f>IFERROR(VLOOKUP(C819,Weights!$A$2:$B$11,2,FALSE),0.7)</f>
        <v/>
      </c>
      <c r="F819">
        <f>D819*E819</f>
        <v/>
      </c>
    </row>
    <row r="820">
      <c r="A820" t="inlineStr">
        <is>
          <t>Watonwan</t>
        </is>
      </c>
      <c r="B820">
        <f>Inputs_State!$B$1</f>
        <v/>
      </c>
      <c r="C820" t="inlineStr">
        <is>
          <t>Incarceration Coordination</t>
        </is>
      </c>
      <c r="D820" t="n">
        <v>3150</v>
      </c>
      <c r="E820">
        <f>IFERROR(VLOOKUP(C820,Weights!$A$2:$B$11,2,FALSE),0.5)</f>
        <v/>
      </c>
      <c r="F820">
        <f>D820*E820</f>
        <v/>
      </c>
    </row>
    <row r="821">
      <c r="A821" t="inlineStr">
        <is>
          <t>Watonwan</t>
        </is>
      </c>
      <c r="B821">
        <f>Inputs_State!$B$1</f>
        <v/>
      </c>
      <c r="C821" t="inlineStr">
        <is>
          <t>Unlocatable / Skip Work</t>
        </is>
      </c>
      <c r="D821" t="n">
        <v>230</v>
      </c>
      <c r="E821">
        <f>IFERROR(VLOOKUP(C821,Weights!$A$2:$B$11,2,FALSE),0.8)</f>
        <v/>
      </c>
      <c r="F821">
        <f>D821*E821</f>
        <v/>
      </c>
    </row>
    <row r="822">
      <c r="A822" t="inlineStr">
        <is>
          <t>Wilkin</t>
        </is>
      </c>
      <c r="B822">
        <f>Inputs_State!$B$1</f>
        <v/>
      </c>
      <c r="C822" t="inlineStr">
        <is>
          <t>Standard Case Work</t>
        </is>
      </c>
      <c r="D822" t="n">
        <v>190</v>
      </c>
      <c r="E822">
        <f>IFERROR(VLOOKUP(C822,Weights!$A$2:$B$11,2,FALSE),1)</f>
        <v/>
      </c>
      <c r="F822">
        <f>D822*E822</f>
        <v/>
      </c>
    </row>
    <row r="823">
      <c r="A823" t="inlineStr">
        <is>
          <t>Wilkin</t>
        </is>
      </c>
      <c r="B823">
        <f>Inputs_State!$B$1</f>
        <v/>
      </c>
      <c r="C823" t="inlineStr">
        <is>
          <t>Full Locate / Long Locate</t>
        </is>
      </c>
      <c r="D823" t="n">
        <v>305</v>
      </c>
      <c r="E823">
        <f>IFERROR(VLOOKUP(C823,Weights!$A$2:$B$11,2,FALSE),2)</f>
        <v/>
      </c>
      <c r="F823">
        <f>D823*E823</f>
        <v/>
      </c>
    </row>
    <row r="824">
      <c r="A824" t="inlineStr">
        <is>
          <t>Wilkin</t>
        </is>
      </c>
      <c r="B824">
        <f>Inputs_State!$B$1</f>
        <v/>
      </c>
      <c r="C824" t="inlineStr">
        <is>
          <t>METS / Interstate Complexity</t>
        </is>
      </c>
      <c r="D824" t="n">
        <v>91</v>
      </c>
      <c r="E824">
        <f>IFERROR(VLOOKUP(C824,Weights!$A$2:$B$11,2,FALSE),1.5)</f>
        <v/>
      </c>
      <c r="F824">
        <f>D824*E824</f>
        <v/>
      </c>
    </row>
    <row r="825">
      <c r="A825" t="inlineStr">
        <is>
          <t>Wilkin</t>
        </is>
      </c>
      <c r="B825">
        <f>Inputs_State!$B$1</f>
        <v/>
      </c>
      <c r="C825" t="inlineStr">
        <is>
          <t>Enforcement / R&amp;M Actions</t>
        </is>
      </c>
      <c r="D825" t="n">
        <v>262</v>
      </c>
      <c r="E825">
        <f>IFERROR(VLOOKUP(C825,Weights!$A$2:$B$11,2,FALSE),1.3)</f>
        <v/>
      </c>
      <c r="F825">
        <f>D825*E825</f>
        <v/>
      </c>
    </row>
    <row r="826">
      <c r="A826" t="inlineStr">
        <is>
          <t>Wilkin</t>
        </is>
      </c>
      <c r="B826">
        <f>Inputs_State!$B$1</f>
        <v/>
      </c>
      <c r="C826" t="inlineStr">
        <is>
          <t>Customer Contacts - Telephone</t>
        </is>
      </c>
      <c r="D826" t="n">
        <v>1607</v>
      </c>
      <c r="E826">
        <f>IFERROR(VLOOKUP(C826,Weights!$A$2:$B$11,2,FALSE),0.2)</f>
        <v/>
      </c>
      <c r="F826">
        <f>D826*E826</f>
        <v/>
      </c>
    </row>
    <row r="827">
      <c r="A827" t="inlineStr">
        <is>
          <t>Wilkin</t>
        </is>
      </c>
      <c r="B827">
        <f>Inputs_State!$B$1</f>
        <v/>
      </c>
      <c r="C827" t="inlineStr">
        <is>
          <t>Customer Contacts - Email/Portal</t>
        </is>
      </c>
      <c r="D827" t="n">
        <v>12253</v>
      </c>
      <c r="E827">
        <f>IFERROR(VLOOKUP(C827,Weights!$A$2:$B$11,2,FALSE),0.15)</f>
        <v/>
      </c>
      <c r="F827">
        <f>D827*E827</f>
        <v/>
      </c>
    </row>
    <row r="828">
      <c r="A828" t="inlineStr">
        <is>
          <t>Wilkin</t>
        </is>
      </c>
      <c r="B828">
        <f>Inputs_State!$B$1</f>
        <v/>
      </c>
      <c r="C828" t="inlineStr">
        <is>
          <t>Interpreter/Language Services</t>
        </is>
      </c>
      <c r="D828" t="n">
        <v>906</v>
      </c>
      <c r="E828">
        <f>IFERROR(VLOOKUP(C828,Weights!$A$2:$B$11,2,FALSE),0.6)</f>
        <v/>
      </c>
      <c r="F828">
        <f>D828*E828</f>
        <v/>
      </c>
    </row>
    <row r="829">
      <c r="A829" t="inlineStr">
        <is>
          <t>Wilkin</t>
        </is>
      </c>
      <c r="B829">
        <f>Inputs_State!$B$1</f>
        <v/>
      </c>
      <c r="C829" t="inlineStr">
        <is>
          <t>Safety / High Risk Handling</t>
        </is>
      </c>
      <c r="D829" t="n">
        <v>155</v>
      </c>
      <c r="E829">
        <f>IFERROR(VLOOKUP(C829,Weights!$A$2:$B$11,2,FALSE),0.7)</f>
        <v/>
      </c>
      <c r="F829">
        <f>D829*E829</f>
        <v/>
      </c>
    </row>
    <row r="830">
      <c r="A830" t="inlineStr">
        <is>
          <t>Wilkin</t>
        </is>
      </c>
      <c r="B830">
        <f>Inputs_State!$B$1</f>
        <v/>
      </c>
      <c r="C830" t="inlineStr">
        <is>
          <t>Incarceration Coordination</t>
        </is>
      </c>
      <c r="D830" t="n">
        <v>3382</v>
      </c>
      <c r="E830">
        <f>IFERROR(VLOOKUP(C830,Weights!$A$2:$B$11,2,FALSE),0.5)</f>
        <v/>
      </c>
      <c r="F830">
        <f>D830*E830</f>
        <v/>
      </c>
    </row>
    <row r="831">
      <c r="A831" t="inlineStr">
        <is>
          <t>Wilkin</t>
        </is>
      </c>
      <c r="B831">
        <f>Inputs_State!$B$1</f>
        <v/>
      </c>
      <c r="C831" t="inlineStr">
        <is>
          <t>Unlocatable / Skip Work</t>
        </is>
      </c>
      <c r="D831" t="n">
        <v>241</v>
      </c>
      <c r="E831">
        <f>IFERROR(VLOOKUP(C831,Weights!$A$2:$B$11,2,FALSE),0.8)</f>
        <v/>
      </c>
      <c r="F831">
        <f>D831*E831</f>
        <v/>
      </c>
    </row>
    <row r="832">
      <c r="A832" t="inlineStr">
        <is>
          <t>Winona</t>
        </is>
      </c>
      <c r="B832">
        <f>Inputs_State!$B$1</f>
        <v/>
      </c>
      <c r="C832" t="inlineStr">
        <is>
          <t>Standard Case Work</t>
        </is>
      </c>
      <c r="D832" t="n">
        <v>523</v>
      </c>
      <c r="E832">
        <f>IFERROR(VLOOKUP(C832,Weights!$A$2:$B$11,2,FALSE),1)</f>
        <v/>
      </c>
      <c r="F832">
        <f>D832*E832</f>
        <v/>
      </c>
    </row>
    <row r="833">
      <c r="A833" t="inlineStr">
        <is>
          <t>Winona</t>
        </is>
      </c>
      <c r="B833">
        <f>Inputs_State!$B$1</f>
        <v/>
      </c>
      <c r="C833" t="inlineStr">
        <is>
          <t>Full Locate / Long Locate</t>
        </is>
      </c>
      <c r="D833" t="n">
        <v>914</v>
      </c>
      <c r="E833">
        <f>IFERROR(VLOOKUP(C833,Weights!$A$2:$B$11,2,FALSE),2)</f>
        <v/>
      </c>
      <c r="F833">
        <f>D833*E833</f>
        <v/>
      </c>
    </row>
    <row r="834">
      <c r="A834" t="inlineStr">
        <is>
          <t>Winona</t>
        </is>
      </c>
      <c r="B834">
        <f>Inputs_State!$B$1</f>
        <v/>
      </c>
      <c r="C834" t="inlineStr">
        <is>
          <t>METS / Interstate Complexity</t>
        </is>
      </c>
      <c r="D834" t="n">
        <v>232</v>
      </c>
      <c r="E834">
        <f>IFERROR(VLOOKUP(C834,Weights!$A$2:$B$11,2,FALSE),1.5)</f>
        <v/>
      </c>
      <c r="F834">
        <f>D834*E834</f>
        <v/>
      </c>
    </row>
    <row r="835">
      <c r="A835" t="inlineStr">
        <is>
          <t>Winona</t>
        </is>
      </c>
      <c r="B835">
        <f>Inputs_State!$B$1</f>
        <v/>
      </c>
      <c r="C835" t="inlineStr">
        <is>
          <t>Enforcement / R&amp;M Actions</t>
        </is>
      </c>
      <c r="D835" t="n">
        <v>784</v>
      </c>
      <c r="E835">
        <f>IFERROR(VLOOKUP(C835,Weights!$A$2:$B$11,2,FALSE),1.3)</f>
        <v/>
      </c>
      <c r="F835">
        <f>D835*E835</f>
        <v/>
      </c>
    </row>
    <row r="836">
      <c r="A836" t="inlineStr">
        <is>
          <t>Winona</t>
        </is>
      </c>
      <c r="B836">
        <f>Inputs_State!$B$1</f>
        <v/>
      </c>
      <c r="C836" t="inlineStr">
        <is>
          <t>Customer Contacts - Telephone</t>
        </is>
      </c>
      <c r="D836" t="n">
        <v>5513</v>
      </c>
      <c r="E836">
        <f>IFERROR(VLOOKUP(C836,Weights!$A$2:$B$11,2,FALSE),0.2)</f>
        <v/>
      </c>
      <c r="F836">
        <f>D836*E836</f>
        <v/>
      </c>
    </row>
    <row r="837">
      <c r="A837" t="inlineStr">
        <is>
          <t>Winona</t>
        </is>
      </c>
      <c r="B837">
        <f>Inputs_State!$B$1</f>
        <v/>
      </c>
      <c r="C837" t="inlineStr">
        <is>
          <t>Customer Contacts - Email/Portal</t>
        </is>
      </c>
      <c r="D837" t="n">
        <v>34377</v>
      </c>
      <c r="E837">
        <f>IFERROR(VLOOKUP(C837,Weights!$A$2:$B$11,2,FALSE),0.15)</f>
        <v/>
      </c>
      <c r="F837">
        <f>D837*E837</f>
        <v/>
      </c>
    </row>
    <row r="838">
      <c r="A838" t="inlineStr">
        <is>
          <t>Winona</t>
        </is>
      </c>
      <c r="B838">
        <f>Inputs_State!$B$1</f>
        <v/>
      </c>
      <c r="C838" t="inlineStr">
        <is>
          <t>Interpreter/Language Services</t>
        </is>
      </c>
      <c r="D838" t="n">
        <v>2398</v>
      </c>
      <c r="E838">
        <f>IFERROR(VLOOKUP(C838,Weights!$A$2:$B$11,2,FALSE),0.6)</f>
        <v/>
      </c>
      <c r="F838">
        <f>D838*E838</f>
        <v/>
      </c>
    </row>
    <row r="839">
      <c r="A839" t="inlineStr">
        <is>
          <t>Winona</t>
        </is>
      </c>
      <c r="B839">
        <f>Inputs_State!$B$1</f>
        <v/>
      </c>
      <c r="C839" t="inlineStr">
        <is>
          <t>Safety / High Risk Handling</t>
        </is>
      </c>
      <c r="D839" t="n">
        <v>487</v>
      </c>
      <c r="E839">
        <f>IFERROR(VLOOKUP(C839,Weights!$A$2:$B$11,2,FALSE),0.7)</f>
        <v/>
      </c>
      <c r="F839">
        <f>D839*E839</f>
        <v/>
      </c>
    </row>
    <row r="840">
      <c r="A840" t="inlineStr">
        <is>
          <t>Winona</t>
        </is>
      </c>
      <c r="B840">
        <f>Inputs_State!$B$1</f>
        <v/>
      </c>
      <c r="C840" t="inlineStr">
        <is>
          <t>Incarceration Coordination</t>
        </is>
      </c>
      <c r="D840" t="n">
        <v>8011</v>
      </c>
      <c r="E840">
        <f>IFERROR(VLOOKUP(C840,Weights!$A$2:$B$11,2,FALSE),0.5)</f>
        <v/>
      </c>
      <c r="F840">
        <f>D840*E840</f>
        <v/>
      </c>
    </row>
    <row r="841">
      <c r="A841" t="inlineStr">
        <is>
          <t>Winona</t>
        </is>
      </c>
      <c r="B841">
        <f>Inputs_State!$B$1</f>
        <v/>
      </c>
      <c r="C841" t="inlineStr">
        <is>
          <t>Unlocatable / Skip Work</t>
        </is>
      </c>
      <c r="D841" t="n">
        <v>675</v>
      </c>
      <c r="E841">
        <f>IFERROR(VLOOKUP(C841,Weights!$A$2:$B$11,2,FALSE),0.8)</f>
        <v/>
      </c>
      <c r="F841">
        <f>D841*E841</f>
        <v/>
      </c>
    </row>
    <row r="842">
      <c r="A842" t="inlineStr">
        <is>
          <t>Wright</t>
        </is>
      </c>
      <c r="B842">
        <f>Inputs_State!$B$1</f>
        <v/>
      </c>
      <c r="C842" t="inlineStr">
        <is>
          <t>Standard Case Work</t>
        </is>
      </c>
      <c r="D842" t="n">
        <v>337</v>
      </c>
      <c r="E842">
        <f>IFERROR(VLOOKUP(C842,Weights!$A$2:$B$11,2,FALSE),1)</f>
        <v/>
      </c>
      <c r="F842">
        <f>D842*E842</f>
        <v/>
      </c>
    </row>
    <row r="843">
      <c r="A843" t="inlineStr">
        <is>
          <t>Wright</t>
        </is>
      </c>
      <c r="B843">
        <f>Inputs_State!$B$1</f>
        <v/>
      </c>
      <c r="C843" t="inlineStr">
        <is>
          <t>Full Locate / Long Locate</t>
        </is>
      </c>
      <c r="D843" t="n">
        <v>552</v>
      </c>
      <c r="E843">
        <f>IFERROR(VLOOKUP(C843,Weights!$A$2:$B$11,2,FALSE),2)</f>
        <v/>
      </c>
      <c r="F843">
        <f>D843*E843</f>
        <v/>
      </c>
    </row>
    <row r="844">
      <c r="A844" t="inlineStr">
        <is>
          <t>Wright</t>
        </is>
      </c>
      <c r="B844">
        <f>Inputs_State!$B$1</f>
        <v/>
      </c>
      <c r="C844" t="inlineStr">
        <is>
          <t>METS / Interstate Complexity</t>
        </is>
      </c>
      <c r="D844" t="n">
        <v>141</v>
      </c>
      <c r="E844">
        <f>IFERROR(VLOOKUP(C844,Weights!$A$2:$B$11,2,FALSE),1.5)</f>
        <v/>
      </c>
      <c r="F844">
        <f>D844*E844</f>
        <v/>
      </c>
    </row>
    <row r="845">
      <c r="A845" t="inlineStr">
        <is>
          <t>Wright</t>
        </is>
      </c>
      <c r="B845">
        <f>Inputs_State!$B$1</f>
        <v/>
      </c>
      <c r="C845" t="inlineStr">
        <is>
          <t>Enforcement / R&amp;M Actions</t>
        </is>
      </c>
      <c r="D845" t="n">
        <v>490</v>
      </c>
      <c r="E845">
        <f>IFERROR(VLOOKUP(C845,Weights!$A$2:$B$11,2,FALSE),1.3)</f>
        <v/>
      </c>
      <c r="F845">
        <f>D845*E845</f>
        <v/>
      </c>
    </row>
    <row r="846">
      <c r="A846" t="inlineStr">
        <is>
          <t>Wright</t>
        </is>
      </c>
      <c r="B846">
        <f>Inputs_State!$B$1</f>
        <v/>
      </c>
      <c r="C846" t="inlineStr">
        <is>
          <t>Customer Contacts - Telephone</t>
        </is>
      </c>
      <c r="D846" t="n">
        <v>3322</v>
      </c>
      <c r="E846">
        <f>IFERROR(VLOOKUP(C846,Weights!$A$2:$B$11,2,FALSE),0.2)</f>
        <v/>
      </c>
      <c r="F846">
        <f>D846*E846</f>
        <v/>
      </c>
    </row>
    <row r="847">
      <c r="A847" t="inlineStr">
        <is>
          <t>Wright</t>
        </is>
      </c>
      <c r="B847">
        <f>Inputs_State!$B$1</f>
        <v/>
      </c>
      <c r="C847" t="inlineStr">
        <is>
          <t>Customer Contacts - Email/Portal</t>
        </is>
      </c>
      <c r="D847" t="n">
        <v>20725</v>
      </c>
      <c r="E847">
        <f>IFERROR(VLOOKUP(C847,Weights!$A$2:$B$11,2,FALSE),0.15)</f>
        <v/>
      </c>
      <c r="F847">
        <f>D847*E847</f>
        <v/>
      </c>
    </row>
    <row r="848">
      <c r="A848" t="inlineStr">
        <is>
          <t>Wright</t>
        </is>
      </c>
      <c r="B848">
        <f>Inputs_State!$B$1</f>
        <v/>
      </c>
      <c r="C848" t="inlineStr">
        <is>
          <t>Interpreter/Language Services</t>
        </is>
      </c>
      <c r="D848" t="n">
        <v>2014</v>
      </c>
      <c r="E848">
        <f>IFERROR(VLOOKUP(C848,Weights!$A$2:$B$11,2,FALSE),0.6)</f>
        <v/>
      </c>
      <c r="F848">
        <f>D848*E848</f>
        <v/>
      </c>
    </row>
    <row r="849">
      <c r="A849" t="inlineStr">
        <is>
          <t>Wright</t>
        </is>
      </c>
      <c r="B849">
        <f>Inputs_State!$B$1</f>
        <v/>
      </c>
      <c r="C849" t="inlineStr">
        <is>
          <t>Safety / High Risk Handling</t>
        </is>
      </c>
      <c r="D849" t="n">
        <v>331</v>
      </c>
      <c r="E849">
        <f>IFERROR(VLOOKUP(C849,Weights!$A$2:$B$11,2,FALSE),0.7)</f>
        <v/>
      </c>
      <c r="F849">
        <f>D849*E849</f>
        <v/>
      </c>
    </row>
    <row r="850">
      <c r="A850" t="inlineStr">
        <is>
          <t>Wright</t>
        </is>
      </c>
      <c r="B850">
        <f>Inputs_State!$B$1</f>
        <v/>
      </c>
      <c r="C850" t="inlineStr">
        <is>
          <t>Incarceration Coordination</t>
        </is>
      </c>
      <c r="D850" t="n">
        <v>5576</v>
      </c>
      <c r="E850">
        <f>IFERROR(VLOOKUP(C850,Weights!$A$2:$B$11,2,FALSE),0.5)</f>
        <v/>
      </c>
      <c r="F850">
        <f>D850*E850</f>
        <v/>
      </c>
    </row>
    <row r="851">
      <c r="A851" t="inlineStr">
        <is>
          <t>Wright</t>
        </is>
      </c>
      <c r="B851">
        <f>Inputs_State!$B$1</f>
        <v/>
      </c>
      <c r="C851" t="inlineStr">
        <is>
          <t>Unlocatable / Skip Work</t>
        </is>
      </c>
      <c r="D851" t="n">
        <v>374</v>
      </c>
      <c r="E851">
        <f>IFERROR(VLOOKUP(C851,Weights!$A$2:$B$11,2,FALSE),0.8)</f>
        <v/>
      </c>
      <c r="F851">
        <f>D851*E851</f>
        <v/>
      </c>
    </row>
    <row r="852">
      <c r="A852" t="inlineStr">
        <is>
          <t>Yellow Medicine</t>
        </is>
      </c>
      <c r="B852">
        <f>Inputs_State!$B$1</f>
        <v/>
      </c>
      <c r="C852" t="inlineStr">
        <is>
          <t>Standard Case Work</t>
        </is>
      </c>
      <c r="D852" t="n">
        <v>139</v>
      </c>
      <c r="E852">
        <f>IFERROR(VLOOKUP(C852,Weights!$A$2:$B$11,2,FALSE),1)</f>
        <v/>
      </c>
      <c r="F852">
        <f>D852*E852</f>
        <v/>
      </c>
    </row>
    <row r="853">
      <c r="A853" t="inlineStr">
        <is>
          <t>Yellow Medicine</t>
        </is>
      </c>
      <c r="B853">
        <f>Inputs_State!$B$1</f>
        <v/>
      </c>
      <c r="C853" t="inlineStr">
        <is>
          <t>Full Locate / Long Locate</t>
        </is>
      </c>
      <c r="D853" t="n">
        <v>215</v>
      </c>
      <c r="E853">
        <f>IFERROR(VLOOKUP(C853,Weights!$A$2:$B$11,2,FALSE),2)</f>
        <v/>
      </c>
      <c r="F853">
        <f>D853*E853</f>
        <v/>
      </c>
    </row>
    <row r="854">
      <c r="A854" t="inlineStr">
        <is>
          <t>Yellow Medicine</t>
        </is>
      </c>
      <c r="B854">
        <f>Inputs_State!$B$1</f>
        <v/>
      </c>
      <c r="C854" t="inlineStr">
        <is>
          <t>METS / Interstate Complexity</t>
        </is>
      </c>
      <c r="D854" t="n">
        <v>54</v>
      </c>
      <c r="E854">
        <f>IFERROR(VLOOKUP(C854,Weights!$A$2:$B$11,2,FALSE),1.5)</f>
        <v/>
      </c>
      <c r="F854">
        <f>D854*E854</f>
        <v/>
      </c>
    </row>
    <row r="855">
      <c r="A855" t="inlineStr">
        <is>
          <t>Yellow Medicine</t>
        </is>
      </c>
      <c r="B855">
        <f>Inputs_State!$B$1</f>
        <v/>
      </c>
      <c r="C855" t="inlineStr">
        <is>
          <t>Enforcement / R&amp;M Actions</t>
        </is>
      </c>
      <c r="D855" t="n">
        <v>196</v>
      </c>
      <c r="E855">
        <f>IFERROR(VLOOKUP(C855,Weights!$A$2:$B$11,2,FALSE),1.3)</f>
        <v/>
      </c>
      <c r="F855">
        <f>D855*E855</f>
        <v/>
      </c>
    </row>
    <row r="856">
      <c r="A856" t="inlineStr">
        <is>
          <t>Yellow Medicine</t>
        </is>
      </c>
      <c r="B856">
        <f>Inputs_State!$B$1</f>
        <v/>
      </c>
      <c r="C856" t="inlineStr">
        <is>
          <t>Customer Contacts - Telephone</t>
        </is>
      </c>
      <c r="D856" t="n">
        <v>1125</v>
      </c>
      <c r="E856">
        <f>IFERROR(VLOOKUP(C856,Weights!$A$2:$B$11,2,FALSE),0.2)</f>
        <v/>
      </c>
      <c r="F856">
        <f>D856*E856</f>
        <v/>
      </c>
    </row>
    <row r="857">
      <c r="A857" t="inlineStr">
        <is>
          <t>Yellow Medicine</t>
        </is>
      </c>
      <c r="B857">
        <f>Inputs_State!$B$1</f>
        <v/>
      </c>
      <c r="C857" t="inlineStr">
        <is>
          <t>Customer Contacts - Email/Portal</t>
        </is>
      </c>
      <c r="D857" t="n">
        <v>7533</v>
      </c>
      <c r="E857">
        <f>IFERROR(VLOOKUP(C857,Weights!$A$2:$B$11,2,FALSE),0.15)</f>
        <v/>
      </c>
      <c r="F857">
        <f>D857*E857</f>
        <v/>
      </c>
    </row>
    <row r="858">
      <c r="A858" t="inlineStr">
        <is>
          <t>Yellow Medicine</t>
        </is>
      </c>
      <c r="B858">
        <f>Inputs_State!$B$1</f>
        <v/>
      </c>
      <c r="C858" t="inlineStr">
        <is>
          <t>Interpreter/Language Services</t>
        </is>
      </c>
      <c r="D858" t="n">
        <v>743</v>
      </c>
      <c r="E858">
        <f>IFERROR(VLOOKUP(C858,Weights!$A$2:$B$11,2,FALSE),0.6)</f>
        <v/>
      </c>
      <c r="F858">
        <f>D858*E858</f>
        <v/>
      </c>
    </row>
    <row r="859">
      <c r="A859" t="inlineStr">
        <is>
          <t>Yellow Medicine</t>
        </is>
      </c>
      <c r="B859">
        <f>Inputs_State!$B$1</f>
        <v/>
      </c>
      <c r="C859" t="inlineStr">
        <is>
          <t>Safety / High Risk Handling</t>
        </is>
      </c>
      <c r="D859" t="n">
        <v>132</v>
      </c>
      <c r="E859">
        <f>IFERROR(VLOOKUP(C859,Weights!$A$2:$B$11,2,FALSE),0.7)</f>
        <v/>
      </c>
      <c r="F859">
        <f>D859*E859</f>
        <v/>
      </c>
    </row>
    <row r="860">
      <c r="A860" t="inlineStr">
        <is>
          <t>Yellow Medicine</t>
        </is>
      </c>
      <c r="B860">
        <f>Inputs_State!$B$1</f>
        <v/>
      </c>
      <c r="C860" t="inlineStr">
        <is>
          <t>Incarceration Coordination</t>
        </is>
      </c>
      <c r="D860" t="n">
        <v>2204</v>
      </c>
      <c r="E860">
        <f>IFERROR(VLOOKUP(C860,Weights!$A$2:$B$11,2,FALSE),0.5)</f>
        <v/>
      </c>
      <c r="F860">
        <f>D860*E860</f>
        <v/>
      </c>
    </row>
    <row r="861">
      <c r="A861" t="inlineStr">
        <is>
          <t>Yellow Medicine</t>
        </is>
      </c>
      <c r="B861">
        <f>Inputs_State!$B$1</f>
        <v/>
      </c>
      <c r="C861" t="inlineStr">
        <is>
          <t>Unlocatable / Skip Work</t>
        </is>
      </c>
      <c r="D861" t="n">
        <v>180</v>
      </c>
      <c r="E861">
        <f>IFERROR(VLOOKUP(C861,Weights!$A$2:$B$11,2,FALSE),0.8)</f>
        <v/>
      </c>
      <c r="F861">
        <f>D861*E861</f>
        <v/>
      </c>
    </row>
  </sheetData>
  <dataValidations count="1">
    <dataValidation sqref="A2:A861" showDropDown="0" showInputMessage="0" showErrorMessage="0" allowBlank="0" type="list">
      <formula1>=tblCounties[County]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County</t>
        </is>
      </c>
      <c r="B1" s="1" t="inlineStr">
        <is>
          <t>Period</t>
        </is>
      </c>
      <c r="C1" s="1" t="inlineStr">
        <is>
          <t>m_bucket</t>
        </is>
      </c>
      <c r="D1" s="1" t="inlineStr">
        <is>
          <t>Cases_Current</t>
        </is>
      </c>
      <c r="E1" s="1" t="inlineStr">
        <is>
          <t>Cases_Baseline</t>
        </is>
      </c>
      <c r="F1" s="1" t="inlineStr">
        <is>
          <t>Weight_Current</t>
        </is>
      </c>
      <c r="G1" s="1" t="inlineStr">
        <is>
          <t>Weight_Baseline</t>
        </is>
      </c>
    </row>
    <row r="2">
      <c r="A2" t="inlineStr">
        <is>
          <t>Aitkin</t>
        </is>
      </c>
      <c r="B2">
        <f>Inputs_State!$B$1</f>
        <v/>
      </c>
      <c r="C2" t="inlineStr">
        <is>
          <t>0</t>
        </is>
      </c>
      <c r="D2" t="n">
        <v>1350</v>
      </c>
      <c r="E2" t="n">
        <v>1376</v>
      </c>
      <c r="F2">
        <f>D2*(1+Inputs_State!$B$2*0)</f>
        <v/>
      </c>
      <c r="G2">
        <f>E2*(1+Inputs_State!$B$2*0)</f>
        <v/>
      </c>
    </row>
    <row r="3">
      <c r="A3" t="inlineStr">
        <is>
          <t>Aitkin</t>
        </is>
      </c>
      <c r="B3">
        <f>Inputs_State!$B$1</f>
        <v/>
      </c>
      <c r="C3" t="inlineStr">
        <is>
          <t>1</t>
        </is>
      </c>
      <c r="D3" t="n">
        <v>2720</v>
      </c>
      <c r="E3" t="n">
        <v>2865</v>
      </c>
      <c r="F3">
        <f>D3*(1+Inputs_State!$B$2*1)</f>
        <v/>
      </c>
      <c r="G3">
        <f>E3*(1+Inputs_State!$B$2*1)</f>
        <v/>
      </c>
    </row>
    <row r="4">
      <c r="A4" t="inlineStr">
        <is>
          <t>Aitkin</t>
        </is>
      </c>
      <c r="B4">
        <f>Inputs_State!$B$1</f>
        <v/>
      </c>
      <c r="C4" t="inlineStr">
        <is>
          <t>2</t>
        </is>
      </c>
      <c r="D4" t="n">
        <v>3547</v>
      </c>
      <c r="E4" t="n">
        <v>3703</v>
      </c>
      <c r="F4">
        <f>D4*(1+Inputs_State!$B$2*2)</f>
        <v/>
      </c>
      <c r="G4">
        <f>E4*(1+Inputs_State!$B$2*2)</f>
        <v/>
      </c>
    </row>
    <row r="5">
      <c r="A5" t="inlineStr">
        <is>
          <t>Aitkin</t>
        </is>
      </c>
      <c r="B5">
        <f>Inputs_State!$B$1</f>
        <v/>
      </c>
      <c r="C5" t="inlineStr">
        <is>
          <t>3</t>
        </is>
      </c>
      <c r="D5" t="n">
        <v>3425</v>
      </c>
      <c r="E5" t="n">
        <v>3439</v>
      </c>
      <c r="F5">
        <f>D5*(1+Inputs_State!$B$2*3)</f>
        <v/>
      </c>
      <c r="G5">
        <f>E5*(1+Inputs_State!$B$2*3)</f>
        <v/>
      </c>
    </row>
    <row r="6">
      <c r="A6" t="inlineStr">
        <is>
          <t>Aitkin</t>
        </is>
      </c>
      <c r="B6">
        <f>Inputs_State!$B$1</f>
        <v/>
      </c>
      <c r="C6" t="inlineStr">
        <is>
          <t>4</t>
        </is>
      </c>
      <c r="D6" t="n">
        <v>2759</v>
      </c>
      <c r="E6" t="n">
        <v>2859</v>
      </c>
      <c r="F6">
        <f>D6*(1+Inputs_State!$B$2*4)</f>
        <v/>
      </c>
      <c r="G6">
        <f>E6*(1+Inputs_State!$B$2*4)</f>
        <v/>
      </c>
    </row>
    <row r="7">
      <c r="A7" t="inlineStr">
        <is>
          <t>Aitkin</t>
        </is>
      </c>
      <c r="B7">
        <f>Inputs_State!$B$1</f>
        <v/>
      </c>
      <c r="C7" t="inlineStr">
        <is>
          <t>5</t>
        </is>
      </c>
      <c r="D7" t="n">
        <v>1990</v>
      </c>
      <c r="E7" t="n">
        <v>2189</v>
      </c>
      <c r="F7">
        <f>D7*(1+Inputs_State!$B$2*5)</f>
        <v/>
      </c>
      <c r="G7">
        <f>E7*(1+Inputs_State!$B$2*5)</f>
        <v/>
      </c>
    </row>
    <row r="8">
      <c r="A8" t="inlineStr">
        <is>
          <t>Aitkin</t>
        </is>
      </c>
      <c r="B8">
        <f>Inputs_State!$B$1</f>
        <v/>
      </c>
      <c r="C8" t="inlineStr">
        <is>
          <t>6+</t>
        </is>
      </c>
      <c r="D8" t="n">
        <v>1164</v>
      </c>
      <c r="E8" t="n">
        <v>1189</v>
      </c>
      <c r="F8">
        <f>D8*(1+Inputs_State!$B$2*6)</f>
        <v/>
      </c>
      <c r="G8">
        <f>E8*(1+Inputs_State!$B$2*6)</f>
        <v/>
      </c>
    </row>
    <row r="9">
      <c r="A9" t="inlineStr">
        <is>
          <t>Anoka</t>
        </is>
      </c>
      <c r="B9">
        <f>Inputs_State!$B$1</f>
        <v/>
      </c>
      <c r="C9" t="inlineStr">
        <is>
          <t>0</t>
        </is>
      </c>
      <c r="D9" t="n">
        <v>10735</v>
      </c>
      <c r="E9" t="n">
        <v>9663</v>
      </c>
      <c r="F9">
        <f>D9*(1+Inputs_State!$B$2*0)</f>
        <v/>
      </c>
      <c r="G9">
        <f>E9*(1+Inputs_State!$B$2*0)</f>
        <v/>
      </c>
    </row>
    <row r="10">
      <c r="A10" t="inlineStr">
        <is>
          <t>Anoka</t>
        </is>
      </c>
      <c r="B10">
        <f>Inputs_State!$B$1</f>
        <v/>
      </c>
      <c r="C10" t="inlineStr">
        <is>
          <t>1</t>
        </is>
      </c>
      <c r="D10" t="n">
        <v>21463</v>
      </c>
      <c r="E10" t="n">
        <v>19338</v>
      </c>
      <c r="F10">
        <f>D10*(1+Inputs_State!$B$2*1)</f>
        <v/>
      </c>
      <c r="G10">
        <f>E10*(1+Inputs_State!$B$2*1)</f>
        <v/>
      </c>
    </row>
    <row r="11">
      <c r="A11" t="inlineStr">
        <is>
          <t>Anoka</t>
        </is>
      </c>
      <c r="B11">
        <f>Inputs_State!$B$1</f>
        <v/>
      </c>
      <c r="C11" t="inlineStr">
        <is>
          <t>2</t>
        </is>
      </c>
      <c r="D11" t="n">
        <v>27852</v>
      </c>
      <c r="E11" t="n">
        <v>25707</v>
      </c>
      <c r="F11">
        <f>D11*(1+Inputs_State!$B$2*2)</f>
        <v/>
      </c>
      <c r="G11">
        <f>E11*(1+Inputs_State!$B$2*2)</f>
        <v/>
      </c>
    </row>
    <row r="12">
      <c r="A12" t="inlineStr">
        <is>
          <t>Anoka</t>
        </is>
      </c>
      <c r="B12">
        <f>Inputs_State!$B$1</f>
        <v/>
      </c>
      <c r="C12" t="inlineStr">
        <is>
          <t>3</t>
        </is>
      </c>
      <c r="D12" t="n">
        <v>26418</v>
      </c>
      <c r="E12" t="n">
        <v>24367</v>
      </c>
      <c r="F12">
        <f>D12*(1+Inputs_State!$B$2*3)</f>
        <v/>
      </c>
      <c r="G12">
        <f>E12*(1+Inputs_State!$B$2*3)</f>
        <v/>
      </c>
    </row>
    <row r="13">
      <c r="A13" t="inlineStr">
        <is>
          <t>Anoka</t>
        </is>
      </c>
      <c r="B13">
        <f>Inputs_State!$B$1</f>
        <v/>
      </c>
      <c r="C13" t="inlineStr">
        <is>
          <t>4</t>
        </is>
      </c>
      <c r="D13" t="n">
        <v>21366</v>
      </c>
      <c r="E13" t="n">
        <v>19087</v>
      </c>
      <c r="F13">
        <f>D13*(1+Inputs_State!$B$2*4)</f>
        <v/>
      </c>
      <c r="G13">
        <f>E13*(1+Inputs_State!$B$2*4)</f>
        <v/>
      </c>
    </row>
    <row r="14">
      <c r="A14" t="inlineStr">
        <is>
          <t>Anoka</t>
        </is>
      </c>
      <c r="B14">
        <f>Inputs_State!$B$1</f>
        <v/>
      </c>
      <c r="C14" t="inlineStr">
        <is>
          <t>5</t>
        </is>
      </c>
      <c r="D14" t="n">
        <v>16147</v>
      </c>
      <c r="E14" t="n">
        <v>14746</v>
      </c>
      <c r="F14">
        <f>D14*(1+Inputs_State!$B$2*5)</f>
        <v/>
      </c>
      <c r="G14">
        <f>E14*(1+Inputs_State!$B$2*5)</f>
        <v/>
      </c>
    </row>
    <row r="15">
      <c r="A15" t="inlineStr">
        <is>
          <t>Anoka</t>
        </is>
      </c>
      <c r="B15">
        <f>Inputs_State!$B$1</f>
        <v/>
      </c>
      <c r="C15" t="inlineStr">
        <is>
          <t>6+</t>
        </is>
      </c>
      <c r="D15" t="n">
        <v>9390</v>
      </c>
      <c r="E15" t="n">
        <v>8340</v>
      </c>
      <c r="F15">
        <f>D15*(1+Inputs_State!$B$2*6)</f>
        <v/>
      </c>
      <c r="G15">
        <f>E15*(1+Inputs_State!$B$2*6)</f>
        <v/>
      </c>
    </row>
    <row r="16">
      <c r="A16" t="inlineStr">
        <is>
          <t>Becker</t>
        </is>
      </c>
      <c r="B16">
        <f>Inputs_State!$B$1</f>
        <v/>
      </c>
      <c r="C16" t="inlineStr">
        <is>
          <t>0</t>
        </is>
      </c>
      <c r="D16" t="n">
        <v>673</v>
      </c>
      <c r="E16" t="n">
        <v>689</v>
      </c>
      <c r="F16">
        <f>D16*(1+Inputs_State!$B$2*0)</f>
        <v/>
      </c>
      <c r="G16">
        <f>E16*(1+Inputs_State!$B$2*0)</f>
        <v/>
      </c>
    </row>
    <row r="17">
      <c r="A17" t="inlineStr">
        <is>
          <t>Becker</t>
        </is>
      </c>
      <c r="B17">
        <f>Inputs_State!$B$1</f>
        <v/>
      </c>
      <c r="C17" t="inlineStr">
        <is>
          <t>1</t>
        </is>
      </c>
      <c r="D17" t="n">
        <v>1352</v>
      </c>
      <c r="E17" t="n">
        <v>1309</v>
      </c>
      <c r="F17">
        <f>D17*(1+Inputs_State!$B$2*1)</f>
        <v/>
      </c>
      <c r="G17">
        <f>E17*(1+Inputs_State!$B$2*1)</f>
        <v/>
      </c>
    </row>
    <row r="18">
      <c r="A18" t="inlineStr">
        <is>
          <t>Becker</t>
        </is>
      </c>
      <c r="B18">
        <f>Inputs_State!$B$1</f>
        <v/>
      </c>
      <c r="C18" t="inlineStr">
        <is>
          <t>2</t>
        </is>
      </c>
      <c r="D18" t="n">
        <v>1822</v>
      </c>
      <c r="E18" t="n">
        <v>1723</v>
      </c>
      <c r="F18">
        <f>D18*(1+Inputs_State!$B$2*2)</f>
        <v/>
      </c>
      <c r="G18">
        <f>E18*(1+Inputs_State!$B$2*2)</f>
        <v/>
      </c>
    </row>
    <row r="19">
      <c r="A19" t="inlineStr">
        <is>
          <t>Becker</t>
        </is>
      </c>
      <c r="B19">
        <f>Inputs_State!$B$1</f>
        <v/>
      </c>
      <c r="C19" t="inlineStr">
        <is>
          <t>3</t>
        </is>
      </c>
      <c r="D19" t="n">
        <v>1747</v>
      </c>
      <c r="E19" t="n">
        <v>1631</v>
      </c>
      <c r="F19">
        <f>D19*(1+Inputs_State!$B$2*3)</f>
        <v/>
      </c>
      <c r="G19">
        <f>E19*(1+Inputs_State!$B$2*3)</f>
        <v/>
      </c>
    </row>
    <row r="20">
      <c r="A20" t="inlineStr">
        <is>
          <t>Becker</t>
        </is>
      </c>
      <c r="B20">
        <f>Inputs_State!$B$1</f>
        <v/>
      </c>
      <c r="C20" t="inlineStr">
        <is>
          <t>4</t>
        </is>
      </c>
      <c r="D20" t="n">
        <v>1485</v>
      </c>
      <c r="E20" t="n">
        <v>1343</v>
      </c>
      <c r="F20">
        <f>D20*(1+Inputs_State!$B$2*4)</f>
        <v/>
      </c>
      <c r="G20">
        <f>E20*(1+Inputs_State!$B$2*4)</f>
        <v/>
      </c>
    </row>
    <row r="21">
      <c r="A21" t="inlineStr">
        <is>
          <t>Becker</t>
        </is>
      </c>
      <c r="B21">
        <f>Inputs_State!$B$1</f>
        <v/>
      </c>
      <c r="C21" t="inlineStr">
        <is>
          <t>5</t>
        </is>
      </c>
      <c r="D21" t="n">
        <v>1114</v>
      </c>
      <c r="E21" t="n">
        <v>992</v>
      </c>
      <c r="F21">
        <f>D21*(1+Inputs_State!$B$2*5)</f>
        <v/>
      </c>
      <c r="G21">
        <f>E21*(1+Inputs_State!$B$2*5)</f>
        <v/>
      </c>
    </row>
    <row r="22">
      <c r="A22" t="inlineStr">
        <is>
          <t>Becker</t>
        </is>
      </c>
      <c r="B22">
        <f>Inputs_State!$B$1</f>
        <v/>
      </c>
      <c r="C22" t="inlineStr">
        <is>
          <t>6+</t>
        </is>
      </c>
      <c r="D22" t="n">
        <v>618</v>
      </c>
      <c r="E22" t="n">
        <v>569</v>
      </c>
      <c r="F22">
        <f>D22*(1+Inputs_State!$B$2*6)</f>
        <v/>
      </c>
      <c r="G22">
        <f>E22*(1+Inputs_State!$B$2*6)</f>
        <v/>
      </c>
    </row>
    <row r="23">
      <c r="A23" t="inlineStr">
        <is>
          <t>Beltrami</t>
        </is>
      </c>
      <c r="B23">
        <f>Inputs_State!$B$1</f>
        <v/>
      </c>
      <c r="C23" t="inlineStr">
        <is>
          <t>0</t>
        </is>
      </c>
      <c r="D23" t="n">
        <v>5503</v>
      </c>
      <c r="E23" t="n">
        <v>5053</v>
      </c>
      <c r="F23">
        <f>D23*(1+Inputs_State!$B$2*0)</f>
        <v/>
      </c>
      <c r="G23">
        <f>E23*(1+Inputs_State!$B$2*0)</f>
        <v/>
      </c>
    </row>
    <row r="24">
      <c r="A24" t="inlineStr">
        <is>
          <t>Beltrami</t>
        </is>
      </c>
      <c r="B24">
        <f>Inputs_State!$B$1</f>
        <v/>
      </c>
      <c r="C24" t="inlineStr">
        <is>
          <t>1</t>
        </is>
      </c>
      <c r="D24" t="n">
        <v>10903</v>
      </c>
      <c r="E24" t="n">
        <v>10066</v>
      </c>
      <c r="F24">
        <f>D24*(1+Inputs_State!$B$2*1)</f>
        <v/>
      </c>
      <c r="G24">
        <f>E24*(1+Inputs_State!$B$2*1)</f>
        <v/>
      </c>
    </row>
    <row r="25">
      <c r="A25" t="inlineStr">
        <is>
          <t>Beltrami</t>
        </is>
      </c>
      <c r="B25">
        <f>Inputs_State!$B$1</f>
        <v/>
      </c>
      <c r="C25" t="inlineStr">
        <is>
          <t>2</t>
        </is>
      </c>
      <c r="D25" t="n">
        <v>14203</v>
      </c>
      <c r="E25" t="n">
        <v>13113</v>
      </c>
      <c r="F25">
        <f>D25*(1+Inputs_State!$B$2*2)</f>
        <v/>
      </c>
      <c r="G25">
        <f>E25*(1+Inputs_State!$B$2*2)</f>
        <v/>
      </c>
    </row>
    <row r="26">
      <c r="A26" t="inlineStr">
        <is>
          <t>Beltrami</t>
        </is>
      </c>
      <c r="B26">
        <f>Inputs_State!$B$1</f>
        <v/>
      </c>
      <c r="C26" t="inlineStr">
        <is>
          <t>3</t>
        </is>
      </c>
      <c r="D26" t="n">
        <v>13682</v>
      </c>
      <c r="E26" t="n">
        <v>12527</v>
      </c>
      <c r="F26">
        <f>D26*(1+Inputs_State!$B$2*3)</f>
        <v/>
      </c>
      <c r="G26">
        <f>E26*(1+Inputs_State!$B$2*3)</f>
        <v/>
      </c>
    </row>
    <row r="27">
      <c r="A27" t="inlineStr">
        <is>
          <t>Beltrami</t>
        </is>
      </c>
      <c r="B27">
        <f>Inputs_State!$B$1</f>
        <v/>
      </c>
      <c r="C27" t="inlineStr">
        <is>
          <t>4</t>
        </is>
      </c>
      <c r="D27" t="n">
        <v>11055</v>
      </c>
      <c r="E27" t="n">
        <v>9993</v>
      </c>
      <c r="F27">
        <f>D27*(1+Inputs_State!$B$2*4)</f>
        <v/>
      </c>
      <c r="G27">
        <f>E27*(1+Inputs_State!$B$2*4)</f>
        <v/>
      </c>
    </row>
    <row r="28">
      <c r="A28" t="inlineStr">
        <is>
          <t>Beltrami</t>
        </is>
      </c>
      <c r="B28">
        <f>Inputs_State!$B$1</f>
        <v/>
      </c>
      <c r="C28" t="inlineStr">
        <is>
          <t>5</t>
        </is>
      </c>
      <c r="D28" t="n">
        <v>8195</v>
      </c>
      <c r="E28" t="n">
        <v>7486</v>
      </c>
      <c r="F28">
        <f>D28*(1+Inputs_State!$B$2*5)</f>
        <v/>
      </c>
      <c r="G28">
        <f>E28*(1+Inputs_State!$B$2*5)</f>
        <v/>
      </c>
    </row>
    <row r="29">
      <c r="A29" t="inlineStr">
        <is>
          <t>Beltrami</t>
        </is>
      </c>
      <c r="B29">
        <f>Inputs_State!$B$1</f>
        <v/>
      </c>
      <c r="C29" t="inlineStr">
        <is>
          <t>6+</t>
        </is>
      </c>
      <c r="D29" t="n">
        <v>4743</v>
      </c>
      <c r="E29" t="n">
        <v>4268</v>
      </c>
      <c r="F29">
        <f>D29*(1+Inputs_State!$B$2*6)</f>
        <v/>
      </c>
      <c r="G29">
        <f>E29*(1+Inputs_State!$B$2*6)</f>
        <v/>
      </c>
    </row>
    <row r="30">
      <c r="A30" t="inlineStr">
        <is>
          <t>Benton</t>
        </is>
      </c>
      <c r="B30">
        <f>Inputs_State!$B$1</f>
        <v/>
      </c>
      <c r="C30" t="inlineStr">
        <is>
          <t>0</t>
        </is>
      </c>
      <c r="D30" t="n">
        <v>1589</v>
      </c>
      <c r="E30" t="n">
        <v>1661</v>
      </c>
      <c r="F30">
        <f>D30*(1+Inputs_State!$B$2*0)</f>
        <v/>
      </c>
      <c r="G30">
        <f>E30*(1+Inputs_State!$B$2*0)</f>
        <v/>
      </c>
    </row>
    <row r="31">
      <c r="A31" t="inlineStr">
        <is>
          <t>Benton</t>
        </is>
      </c>
      <c r="B31">
        <f>Inputs_State!$B$1</f>
        <v/>
      </c>
      <c r="C31" t="inlineStr">
        <is>
          <t>1</t>
        </is>
      </c>
      <c r="D31" t="n">
        <v>3143</v>
      </c>
      <c r="E31" t="n">
        <v>3307</v>
      </c>
      <c r="F31">
        <f>D31*(1+Inputs_State!$B$2*1)</f>
        <v/>
      </c>
      <c r="G31">
        <f>E31*(1+Inputs_State!$B$2*1)</f>
        <v/>
      </c>
    </row>
    <row r="32">
      <c r="A32" t="inlineStr">
        <is>
          <t>Benton</t>
        </is>
      </c>
      <c r="B32">
        <f>Inputs_State!$B$1</f>
        <v/>
      </c>
      <c r="C32" t="inlineStr">
        <is>
          <t>2</t>
        </is>
      </c>
      <c r="D32" t="n">
        <v>4253</v>
      </c>
      <c r="E32" t="n">
        <v>4298</v>
      </c>
      <c r="F32">
        <f>D32*(1+Inputs_State!$B$2*2)</f>
        <v/>
      </c>
      <c r="G32">
        <f>E32*(1+Inputs_State!$B$2*2)</f>
        <v/>
      </c>
    </row>
    <row r="33">
      <c r="A33" t="inlineStr">
        <is>
          <t>Benton</t>
        </is>
      </c>
      <c r="B33">
        <f>Inputs_State!$B$1</f>
        <v/>
      </c>
      <c r="C33" t="inlineStr">
        <is>
          <t>3</t>
        </is>
      </c>
      <c r="D33" t="n">
        <v>3979</v>
      </c>
      <c r="E33" t="n">
        <v>4048</v>
      </c>
      <c r="F33">
        <f>D33*(1+Inputs_State!$B$2*3)</f>
        <v/>
      </c>
      <c r="G33">
        <f>E33*(1+Inputs_State!$B$2*3)</f>
        <v/>
      </c>
    </row>
    <row r="34">
      <c r="A34" t="inlineStr">
        <is>
          <t>Benton</t>
        </is>
      </c>
      <c r="B34">
        <f>Inputs_State!$B$1</f>
        <v/>
      </c>
      <c r="C34" t="inlineStr">
        <is>
          <t>4</t>
        </is>
      </c>
      <c r="D34" t="n">
        <v>3287</v>
      </c>
      <c r="E34" t="n">
        <v>3338</v>
      </c>
      <c r="F34">
        <f>D34*(1+Inputs_State!$B$2*4)</f>
        <v/>
      </c>
      <c r="G34">
        <f>E34*(1+Inputs_State!$B$2*4)</f>
        <v/>
      </c>
    </row>
    <row r="35">
      <c r="A35" t="inlineStr">
        <is>
          <t>Benton</t>
        </is>
      </c>
      <c r="B35">
        <f>Inputs_State!$B$1</f>
        <v/>
      </c>
      <c r="C35" t="inlineStr">
        <is>
          <t>5</t>
        </is>
      </c>
      <c r="D35" t="n">
        <v>2355</v>
      </c>
      <c r="E35" t="n">
        <v>2432</v>
      </c>
      <c r="F35">
        <f>D35*(1+Inputs_State!$B$2*5)</f>
        <v/>
      </c>
      <c r="G35">
        <f>E35*(1+Inputs_State!$B$2*5)</f>
        <v/>
      </c>
    </row>
    <row r="36">
      <c r="A36" t="inlineStr">
        <is>
          <t>Benton</t>
        </is>
      </c>
      <c r="B36">
        <f>Inputs_State!$B$1</f>
        <v/>
      </c>
      <c r="C36" t="inlineStr">
        <is>
          <t>6+</t>
        </is>
      </c>
      <c r="D36" t="n">
        <v>1373</v>
      </c>
      <c r="E36" t="n">
        <v>1452</v>
      </c>
      <c r="F36">
        <f>D36*(1+Inputs_State!$B$2*6)</f>
        <v/>
      </c>
      <c r="G36">
        <f>E36*(1+Inputs_State!$B$2*6)</f>
        <v/>
      </c>
    </row>
    <row r="37">
      <c r="A37" t="inlineStr">
        <is>
          <t>Big Stone</t>
        </is>
      </c>
      <c r="B37">
        <f>Inputs_State!$B$1</f>
        <v/>
      </c>
      <c r="C37" t="inlineStr">
        <is>
          <t>0</t>
        </is>
      </c>
      <c r="D37" t="n">
        <v>2120</v>
      </c>
      <c r="E37" t="n">
        <v>1954</v>
      </c>
      <c r="F37">
        <f>D37*(1+Inputs_State!$B$2*0)</f>
        <v/>
      </c>
      <c r="G37">
        <f>E37*(1+Inputs_State!$B$2*0)</f>
        <v/>
      </c>
    </row>
    <row r="38">
      <c r="A38" t="inlineStr">
        <is>
          <t>Big Stone</t>
        </is>
      </c>
      <c r="B38">
        <f>Inputs_State!$B$1</f>
        <v/>
      </c>
      <c r="C38" t="inlineStr">
        <is>
          <t>1</t>
        </is>
      </c>
      <c r="D38" t="n">
        <v>4087</v>
      </c>
      <c r="E38" t="n">
        <v>3843</v>
      </c>
      <c r="F38">
        <f>D38*(1+Inputs_State!$B$2*1)</f>
        <v/>
      </c>
      <c r="G38">
        <f>E38*(1+Inputs_State!$B$2*1)</f>
        <v/>
      </c>
    </row>
    <row r="39">
      <c r="A39" t="inlineStr">
        <is>
          <t>Big Stone</t>
        </is>
      </c>
      <c r="B39">
        <f>Inputs_State!$B$1</f>
        <v/>
      </c>
      <c r="C39" t="inlineStr">
        <is>
          <t>2</t>
        </is>
      </c>
      <c r="D39" t="n">
        <v>5599</v>
      </c>
      <c r="E39" t="n">
        <v>5345</v>
      </c>
      <c r="F39">
        <f>D39*(1+Inputs_State!$B$2*2)</f>
        <v/>
      </c>
      <c r="G39">
        <f>E39*(1+Inputs_State!$B$2*2)</f>
        <v/>
      </c>
    </row>
    <row r="40">
      <c r="A40" t="inlineStr">
        <is>
          <t>Big Stone</t>
        </is>
      </c>
      <c r="B40">
        <f>Inputs_State!$B$1</f>
        <v/>
      </c>
      <c r="C40" t="inlineStr">
        <is>
          <t>3</t>
        </is>
      </c>
      <c r="D40" t="n">
        <v>5118</v>
      </c>
      <c r="E40" t="n">
        <v>5070</v>
      </c>
      <c r="F40">
        <f>D40*(1+Inputs_State!$B$2*3)</f>
        <v/>
      </c>
      <c r="G40">
        <f>E40*(1+Inputs_State!$B$2*3)</f>
        <v/>
      </c>
    </row>
    <row r="41">
      <c r="A41" t="inlineStr">
        <is>
          <t>Big Stone</t>
        </is>
      </c>
      <c r="B41">
        <f>Inputs_State!$B$1</f>
        <v/>
      </c>
      <c r="C41" t="inlineStr">
        <is>
          <t>4</t>
        </is>
      </c>
      <c r="D41" t="n">
        <v>4032</v>
      </c>
      <c r="E41" t="n">
        <v>4034</v>
      </c>
      <c r="F41">
        <f>D41*(1+Inputs_State!$B$2*4)</f>
        <v/>
      </c>
      <c r="G41">
        <f>E41*(1+Inputs_State!$B$2*4)</f>
        <v/>
      </c>
    </row>
    <row r="42">
      <c r="A42" t="inlineStr">
        <is>
          <t>Big Stone</t>
        </is>
      </c>
      <c r="B42">
        <f>Inputs_State!$B$1</f>
        <v/>
      </c>
      <c r="C42" t="inlineStr">
        <is>
          <t>5</t>
        </is>
      </c>
      <c r="D42" t="n">
        <v>3090</v>
      </c>
      <c r="E42" t="n">
        <v>2998</v>
      </c>
      <c r="F42">
        <f>D42*(1+Inputs_State!$B$2*5)</f>
        <v/>
      </c>
      <c r="G42">
        <f>E42*(1+Inputs_State!$B$2*5)</f>
        <v/>
      </c>
    </row>
    <row r="43">
      <c r="A43" t="inlineStr">
        <is>
          <t>Big Stone</t>
        </is>
      </c>
      <c r="B43">
        <f>Inputs_State!$B$1</f>
        <v/>
      </c>
      <c r="C43" t="inlineStr">
        <is>
          <t>6+</t>
        </is>
      </c>
      <c r="D43" t="n">
        <v>1787</v>
      </c>
      <c r="E43" t="n">
        <v>1725</v>
      </c>
      <c r="F43">
        <f>D43*(1+Inputs_State!$B$2*6)</f>
        <v/>
      </c>
      <c r="G43">
        <f>E43*(1+Inputs_State!$B$2*6)</f>
        <v/>
      </c>
    </row>
    <row r="44">
      <c r="A44" t="inlineStr">
        <is>
          <t>Blue Earth</t>
        </is>
      </c>
      <c r="B44">
        <f>Inputs_State!$B$1</f>
        <v/>
      </c>
      <c r="C44" t="inlineStr">
        <is>
          <t>0</t>
        </is>
      </c>
      <c r="D44" t="n">
        <v>5378</v>
      </c>
      <c r="E44" t="n">
        <v>4998</v>
      </c>
      <c r="F44">
        <f>D44*(1+Inputs_State!$B$2*0)</f>
        <v/>
      </c>
      <c r="G44">
        <f>E44*(1+Inputs_State!$B$2*0)</f>
        <v/>
      </c>
    </row>
    <row r="45">
      <c r="A45" t="inlineStr">
        <is>
          <t>Blue Earth</t>
        </is>
      </c>
      <c r="B45">
        <f>Inputs_State!$B$1</f>
        <v/>
      </c>
      <c r="C45" t="inlineStr">
        <is>
          <t>1</t>
        </is>
      </c>
      <c r="D45" t="n">
        <v>10641</v>
      </c>
      <c r="E45" t="n">
        <v>9761</v>
      </c>
      <c r="F45">
        <f>D45*(1+Inputs_State!$B$2*1)</f>
        <v/>
      </c>
      <c r="G45">
        <f>E45*(1+Inputs_State!$B$2*1)</f>
        <v/>
      </c>
    </row>
    <row r="46">
      <c r="A46" t="inlineStr">
        <is>
          <t>Blue Earth</t>
        </is>
      </c>
      <c r="B46">
        <f>Inputs_State!$B$1</f>
        <v/>
      </c>
      <c r="C46" t="inlineStr">
        <is>
          <t>2</t>
        </is>
      </c>
      <c r="D46" t="n">
        <v>13970</v>
      </c>
      <c r="E46" t="n">
        <v>13082</v>
      </c>
      <c r="F46">
        <f>D46*(1+Inputs_State!$B$2*2)</f>
        <v/>
      </c>
      <c r="G46">
        <f>E46*(1+Inputs_State!$B$2*2)</f>
        <v/>
      </c>
    </row>
    <row r="47">
      <c r="A47" t="inlineStr">
        <is>
          <t>Blue Earth</t>
        </is>
      </c>
      <c r="B47">
        <f>Inputs_State!$B$1</f>
        <v/>
      </c>
      <c r="C47" t="inlineStr">
        <is>
          <t>3</t>
        </is>
      </c>
      <c r="D47" t="n">
        <v>13143</v>
      </c>
      <c r="E47" t="n">
        <v>12290</v>
      </c>
      <c r="F47">
        <f>D47*(1+Inputs_State!$B$2*3)</f>
        <v/>
      </c>
      <c r="G47">
        <f>E47*(1+Inputs_State!$B$2*3)</f>
        <v/>
      </c>
    </row>
    <row r="48">
      <c r="A48" t="inlineStr">
        <is>
          <t>Blue Earth</t>
        </is>
      </c>
      <c r="B48">
        <f>Inputs_State!$B$1</f>
        <v/>
      </c>
      <c r="C48" t="inlineStr">
        <is>
          <t>4</t>
        </is>
      </c>
      <c r="D48" t="n">
        <v>10380</v>
      </c>
      <c r="E48" t="n">
        <v>10102</v>
      </c>
      <c r="F48">
        <f>D48*(1+Inputs_State!$B$2*4)</f>
        <v/>
      </c>
      <c r="G48">
        <f>E48*(1+Inputs_State!$B$2*4)</f>
        <v/>
      </c>
    </row>
    <row r="49">
      <c r="A49" t="inlineStr">
        <is>
          <t>Blue Earth</t>
        </is>
      </c>
      <c r="B49">
        <f>Inputs_State!$B$1</f>
        <v/>
      </c>
      <c r="C49" t="inlineStr">
        <is>
          <t>5</t>
        </is>
      </c>
      <c r="D49" t="n">
        <v>7893</v>
      </c>
      <c r="E49" t="n">
        <v>7332</v>
      </c>
      <c r="F49">
        <f>D49*(1+Inputs_State!$B$2*5)</f>
        <v/>
      </c>
      <c r="G49">
        <f>E49*(1+Inputs_State!$B$2*5)</f>
        <v/>
      </c>
    </row>
    <row r="50">
      <c r="A50" t="inlineStr">
        <is>
          <t>Blue Earth</t>
        </is>
      </c>
      <c r="B50">
        <f>Inputs_State!$B$1</f>
        <v/>
      </c>
      <c r="C50" t="inlineStr">
        <is>
          <t>6+</t>
        </is>
      </c>
      <c r="D50" t="n">
        <v>4544</v>
      </c>
      <c r="E50" t="n">
        <v>4357</v>
      </c>
      <c r="F50">
        <f>D50*(1+Inputs_State!$B$2*6)</f>
        <v/>
      </c>
      <c r="G50">
        <f>E50*(1+Inputs_State!$B$2*6)</f>
        <v/>
      </c>
    </row>
    <row r="51">
      <c r="A51" t="inlineStr">
        <is>
          <t>Brown</t>
        </is>
      </c>
      <c r="B51">
        <f>Inputs_State!$B$1</f>
        <v/>
      </c>
      <c r="C51" t="inlineStr">
        <is>
          <t>0</t>
        </is>
      </c>
      <c r="D51" t="n">
        <v>1094</v>
      </c>
      <c r="E51" t="n">
        <v>1010</v>
      </c>
      <c r="F51">
        <f>D51*(1+Inputs_State!$B$2*0)</f>
        <v/>
      </c>
      <c r="G51">
        <f>E51*(1+Inputs_State!$B$2*0)</f>
        <v/>
      </c>
    </row>
    <row r="52">
      <c r="A52" t="inlineStr">
        <is>
          <t>Brown</t>
        </is>
      </c>
      <c r="B52">
        <f>Inputs_State!$B$1</f>
        <v/>
      </c>
      <c r="C52" t="inlineStr">
        <is>
          <t>1</t>
        </is>
      </c>
      <c r="D52" t="n">
        <v>2028</v>
      </c>
      <c r="E52" t="n">
        <v>1891</v>
      </c>
      <c r="F52">
        <f>D52*(1+Inputs_State!$B$2*1)</f>
        <v/>
      </c>
      <c r="G52">
        <f>E52*(1+Inputs_State!$B$2*1)</f>
        <v/>
      </c>
    </row>
    <row r="53">
      <c r="A53" t="inlineStr">
        <is>
          <t>Brown</t>
        </is>
      </c>
      <c r="B53">
        <f>Inputs_State!$B$1</f>
        <v/>
      </c>
      <c r="C53" t="inlineStr">
        <is>
          <t>2</t>
        </is>
      </c>
      <c r="D53" t="n">
        <v>2720</v>
      </c>
      <c r="E53" t="n">
        <v>2595</v>
      </c>
      <c r="F53">
        <f>D53*(1+Inputs_State!$B$2*2)</f>
        <v/>
      </c>
      <c r="G53">
        <f>E53*(1+Inputs_State!$B$2*2)</f>
        <v/>
      </c>
    </row>
    <row r="54">
      <c r="A54" t="inlineStr">
        <is>
          <t>Brown</t>
        </is>
      </c>
      <c r="B54">
        <f>Inputs_State!$B$1</f>
        <v/>
      </c>
      <c r="C54" t="inlineStr">
        <is>
          <t>3</t>
        </is>
      </c>
      <c r="D54" t="n">
        <v>2614</v>
      </c>
      <c r="E54" t="n">
        <v>2466</v>
      </c>
      <c r="F54">
        <f>D54*(1+Inputs_State!$B$2*3)</f>
        <v/>
      </c>
      <c r="G54">
        <f>E54*(1+Inputs_State!$B$2*3)</f>
        <v/>
      </c>
    </row>
    <row r="55">
      <c r="A55" t="inlineStr">
        <is>
          <t>Brown</t>
        </is>
      </c>
      <c r="B55">
        <f>Inputs_State!$B$1</f>
        <v/>
      </c>
      <c r="C55" t="inlineStr">
        <is>
          <t>4</t>
        </is>
      </c>
      <c r="D55" t="n">
        <v>2133</v>
      </c>
      <c r="E55" t="n">
        <v>2019</v>
      </c>
      <c r="F55">
        <f>D55*(1+Inputs_State!$B$2*4)</f>
        <v/>
      </c>
      <c r="G55">
        <f>E55*(1+Inputs_State!$B$2*4)</f>
        <v/>
      </c>
    </row>
    <row r="56">
      <c r="A56" t="inlineStr">
        <is>
          <t>Brown</t>
        </is>
      </c>
      <c r="B56">
        <f>Inputs_State!$B$1</f>
        <v/>
      </c>
      <c r="C56" t="inlineStr">
        <is>
          <t>5</t>
        </is>
      </c>
      <c r="D56" t="n">
        <v>1498</v>
      </c>
      <c r="E56" t="n">
        <v>1470</v>
      </c>
      <c r="F56">
        <f>D56*(1+Inputs_State!$B$2*5)</f>
        <v/>
      </c>
      <c r="G56">
        <f>E56*(1+Inputs_State!$B$2*5)</f>
        <v/>
      </c>
    </row>
    <row r="57">
      <c r="A57" t="inlineStr">
        <is>
          <t>Brown</t>
        </is>
      </c>
      <c r="B57">
        <f>Inputs_State!$B$1</f>
        <v/>
      </c>
      <c r="C57" t="inlineStr">
        <is>
          <t>6+</t>
        </is>
      </c>
      <c r="D57" t="n">
        <v>933</v>
      </c>
      <c r="E57" t="n">
        <v>807</v>
      </c>
      <c r="F57">
        <f>D57*(1+Inputs_State!$B$2*6)</f>
        <v/>
      </c>
      <c r="G57">
        <f>E57*(1+Inputs_State!$B$2*6)</f>
        <v/>
      </c>
    </row>
    <row r="58">
      <c r="A58" t="inlineStr">
        <is>
          <t>Carlton</t>
        </is>
      </c>
      <c r="B58">
        <f>Inputs_State!$B$1</f>
        <v/>
      </c>
      <c r="C58" t="inlineStr">
        <is>
          <t>0</t>
        </is>
      </c>
      <c r="D58" t="n">
        <v>1938</v>
      </c>
      <c r="E58" t="n">
        <v>1782</v>
      </c>
      <c r="F58">
        <f>D58*(1+Inputs_State!$B$2*0)</f>
        <v/>
      </c>
      <c r="G58">
        <f>E58*(1+Inputs_State!$B$2*0)</f>
        <v/>
      </c>
    </row>
    <row r="59">
      <c r="A59" t="inlineStr">
        <is>
          <t>Carlton</t>
        </is>
      </c>
      <c r="B59">
        <f>Inputs_State!$B$1</f>
        <v/>
      </c>
      <c r="C59" t="inlineStr">
        <is>
          <t>1</t>
        </is>
      </c>
      <c r="D59" t="n">
        <v>4001</v>
      </c>
      <c r="E59" t="n">
        <v>3625</v>
      </c>
      <c r="F59">
        <f>D59*(1+Inputs_State!$B$2*1)</f>
        <v/>
      </c>
      <c r="G59">
        <f>E59*(1+Inputs_State!$B$2*1)</f>
        <v/>
      </c>
    </row>
    <row r="60">
      <c r="A60" t="inlineStr">
        <is>
          <t>Carlton</t>
        </is>
      </c>
      <c r="B60">
        <f>Inputs_State!$B$1</f>
        <v/>
      </c>
      <c r="C60" t="inlineStr">
        <is>
          <t>2</t>
        </is>
      </c>
      <c r="D60" t="n">
        <v>5137</v>
      </c>
      <c r="E60" t="n">
        <v>4792</v>
      </c>
      <c r="F60">
        <f>D60*(1+Inputs_State!$B$2*2)</f>
        <v/>
      </c>
      <c r="G60">
        <f>E60*(1+Inputs_State!$B$2*2)</f>
        <v/>
      </c>
    </row>
    <row r="61">
      <c r="A61" t="inlineStr">
        <is>
          <t>Carlton</t>
        </is>
      </c>
      <c r="B61">
        <f>Inputs_State!$B$1</f>
        <v/>
      </c>
      <c r="C61" t="inlineStr">
        <is>
          <t>3</t>
        </is>
      </c>
      <c r="D61" t="n">
        <v>5015</v>
      </c>
      <c r="E61" t="n">
        <v>4485</v>
      </c>
      <c r="F61">
        <f>D61*(1+Inputs_State!$B$2*3)</f>
        <v/>
      </c>
      <c r="G61">
        <f>E61*(1+Inputs_State!$B$2*3)</f>
        <v/>
      </c>
    </row>
    <row r="62">
      <c r="A62" t="inlineStr">
        <is>
          <t>Carlton</t>
        </is>
      </c>
      <c r="B62">
        <f>Inputs_State!$B$1</f>
        <v/>
      </c>
      <c r="C62" t="inlineStr">
        <is>
          <t>4</t>
        </is>
      </c>
      <c r="D62" t="n">
        <v>4027</v>
      </c>
      <c r="E62" t="n">
        <v>3634</v>
      </c>
      <c r="F62">
        <f>D62*(1+Inputs_State!$B$2*4)</f>
        <v/>
      </c>
      <c r="G62">
        <f>E62*(1+Inputs_State!$B$2*4)</f>
        <v/>
      </c>
    </row>
    <row r="63">
      <c r="A63" t="inlineStr">
        <is>
          <t>Carlton</t>
        </is>
      </c>
      <c r="B63">
        <f>Inputs_State!$B$1</f>
        <v/>
      </c>
      <c r="C63" t="inlineStr">
        <is>
          <t>5</t>
        </is>
      </c>
      <c r="D63" t="n">
        <v>2989</v>
      </c>
      <c r="E63" t="n">
        <v>2681</v>
      </c>
      <c r="F63">
        <f>D63*(1+Inputs_State!$B$2*5)</f>
        <v/>
      </c>
      <c r="G63">
        <f>E63*(1+Inputs_State!$B$2*5)</f>
        <v/>
      </c>
    </row>
    <row r="64">
      <c r="A64" t="inlineStr">
        <is>
          <t>Carlton</t>
        </is>
      </c>
      <c r="B64">
        <f>Inputs_State!$B$1</f>
        <v/>
      </c>
      <c r="C64" t="inlineStr">
        <is>
          <t>6+</t>
        </is>
      </c>
      <c r="D64" t="n">
        <v>1644</v>
      </c>
      <c r="E64" t="n">
        <v>1611</v>
      </c>
      <c r="F64">
        <f>D64*(1+Inputs_State!$B$2*6)</f>
        <v/>
      </c>
      <c r="G64">
        <f>E64*(1+Inputs_State!$B$2*6)</f>
        <v/>
      </c>
    </row>
    <row r="65">
      <c r="A65" t="inlineStr">
        <is>
          <t>Carver</t>
        </is>
      </c>
      <c r="B65">
        <f>Inputs_State!$B$1</f>
        <v/>
      </c>
      <c r="C65" t="inlineStr">
        <is>
          <t>0</t>
        </is>
      </c>
      <c r="D65" t="n">
        <v>6481</v>
      </c>
      <c r="E65" t="n">
        <v>6491</v>
      </c>
      <c r="F65">
        <f>D65*(1+Inputs_State!$B$2*0)</f>
        <v/>
      </c>
      <c r="G65">
        <f>E65*(1+Inputs_State!$B$2*0)</f>
        <v/>
      </c>
    </row>
    <row r="66">
      <c r="A66" t="inlineStr">
        <is>
          <t>Carver</t>
        </is>
      </c>
      <c r="B66">
        <f>Inputs_State!$B$1</f>
        <v/>
      </c>
      <c r="C66" t="inlineStr">
        <is>
          <t>1</t>
        </is>
      </c>
      <c r="D66" t="n">
        <v>13133</v>
      </c>
      <c r="E66" t="n">
        <v>12894</v>
      </c>
      <c r="F66">
        <f>D66*(1+Inputs_State!$B$2*1)</f>
        <v/>
      </c>
      <c r="G66">
        <f>E66*(1+Inputs_State!$B$2*1)</f>
        <v/>
      </c>
    </row>
    <row r="67">
      <c r="A67" t="inlineStr">
        <is>
          <t>Carver</t>
        </is>
      </c>
      <c r="B67">
        <f>Inputs_State!$B$1</f>
        <v/>
      </c>
      <c r="C67" t="inlineStr">
        <is>
          <t>2</t>
        </is>
      </c>
      <c r="D67" t="n">
        <v>17210</v>
      </c>
      <c r="E67" t="n">
        <v>17293</v>
      </c>
      <c r="F67">
        <f>D67*(1+Inputs_State!$B$2*2)</f>
        <v/>
      </c>
      <c r="G67">
        <f>E67*(1+Inputs_State!$B$2*2)</f>
        <v/>
      </c>
    </row>
    <row r="68">
      <c r="A68" t="inlineStr">
        <is>
          <t>Carver</t>
        </is>
      </c>
      <c r="B68">
        <f>Inputs_State!$B$1</f>
        <v/>
      </c>
      <c r="C68" t="inlineStr">
        <is>
          <t>3</t>
        </is>
      </c>
      <c r="D68" t="n">
        <v>16360</v>
      </c>
      <c r="E68" t="n">
        <v>16395</v>
      </c>
      <c r="F68">
        <f>D68*(1+Inputs_State!$B$2*3)</f>
        <v/>
      </c>
      <c r="G68">
        <f>E68*(1+Inputs_State!$B$2*3)</f>
        <v/>
      </c>
    </row>
    <row r="69">
      <c r="A69" t="inlineStr">
        <is>
          <t>Carver</t>
        </is>
      </c>
      <c r="B69">
        <f>Inputs_State!$B$1</f>
        <v/>
      </c>
      <c r="C69" t="inlineStr">
        <is>
          <t>4</t>
        </is>
      </c>
      <c r="D69" t="n">
        <v>13069</v>
      </c>
      <c r="E69" t="n">
        <v>13329</v>
      </c>
      <c r="F69">
        <f>D69*(1+Inputs_State!$B$2*4)</f>
        <v/>
      </c>
      <c r="G69">
        <f>E69*(1+Inputs_State!$B$2*4)</f>
        <v/>
      </c>
    </row>
    <row r="70">
      <c r="A70" t="inlineStr">
        <is>
          <t>Carver</t>
        </is>
      </c>
      <c r="B70">
        <f>Inputs_State!$B$1</f>
        <v/>
      </c>
      <c r="C70" t="inlineStr">
        <is>
          <t>5</t>
        </is>
      </c>
      <c r="D70" t="n">
        <v>9739</v>
      </c>
      <c r="E70" t="n">
        <v>9851</v>
      </c>
      <c r="F70">
        <f>D70*(1+Inputs_State!$B$2*5)</f>
        <v/>
      </c>
      <c r="G70">
        <f>E70*(1+Inputs_State!$B$2*5)</f>
        <v/>
      </c>
    </row>
    <row r="71">
      <c r="A71" t="inlineStr">
        <is>
          <t>Carver</t>
        </is>
      </c>
      <c r="B71">
        <f>Inputs_State!$B$1</f>
        <v/>
      </c>
      <c r="C71" t="inlineStr">
        <is>
          <t>6+</t>
        </is>
      </c>
      <c r="D71" t="n">
        <v>5710</v>
      </c>
      <c r="E71" t="n">
        <v>5712</v>
      </c>
      <c r="F71">
        <f>D71*(1+Inputs_State!$B$2*6)</f>
        <v/>
      </c>
      <c r="G71">
        <f>E71*(1+Inputs_State!$B$2*6)</f>
        <v/>
      </c>
    </row>
    <row r="72">
      <c r="A72" t="inlineStr">
        <is>
          <t>Cass</t>
        </is>
      </c>
      <c r="B72">
        <f>Inputs_State!$B$1</f>
        <v/>
      </c>
      <c r="C72" t="inlineStr">
        <is>
          <t>0</t>
        </is>
      </c>
      <c r="D72" t="n">
        <v>2582</v>
      </c>
      <c r="E72" t="n">
        <v>2624</v>
      </c>
      <c r="F72">
        <f>D72*(1+Inputs_State!$B$2*0)</f>
        <v/>
      </c>
      <c r="G72">
        <f>E72*(1+Inputs_State!$B$2*0)</f>
        <v/>
      </c>
    </row>
    <row r="73">
      <c r="A73" t="inlineStr">
        <is>
          <t>Cass</t>
        </is>
      </c>
      <c r="B73">
        <f>Inputs_State!$B$1</f>
        <v/>
      </c>
      <c r="C73" t="inlineStr">
        <is>
          <t>1</t>
        </is>
      </c>
      <c r="D73" t="n">
        <v>5168</v>
      </c>
      <c r="E73" t="n">
        <v>5214</v>
      </c>
      <c r="F73">
        <f>D73*(1+Inputs_State!$B$2*1)</f>
        <v/>
      </c>
      <c r="G73">
        <f>E73*(1+Inputs_State!$B$2*1)</f>
        <v/>
      </c>
    </row>
    <row r="74">
      <c r="A74" t="inlineStr">
        <is>
          <t>Cass</t>
        </is>
      </c>
      <c r="B74">
        <f>Inputs_State!$B$1</f>
        <v/>
      </c>
      <c r="C74" t="inlineStr">
        <is>
          <t>2</t>
        </is>
      </c>
      <c r="D74" t="n">
        <v>6976</v>
      </c>
      <c r="E74" t="n">
        <v>6865</v>
      </c>
      <c r="F74">
        <f>D74*(1+Inputs_State!$B$2*2)</f>
        <v/>
      </c>
      <c r="G74">
        <f>E74*(1+Inputs_State!$B$2*2)</f>
        <v/>
      </c>
    </row>
    <row r="75">
      <c r="A75" t="inlineStr">
        <is>
          <t>Cass</t>
        </is>
      </c>
      <c r="B75">
        <f>Inputs_State!$B$1</f>
        <v/>
      </c>
      <c r="C75" t="inlineStr">
        <is>
          <t>3</t>
        </is>
      </c>
      <c r="D75" t="n">
        <v>6431</v>
      </c>
      <c r="E75" t="n">
        <v>6403</v>
      </c>
      <c r="F75">
        <f>D75*(1+Inputs_State!$B$2*3)</f>
        <v/>
      </c>
      <c r="G75">
        <f>E75*(1+Inputs_State!$B$2*3)</f>
        <v/>
      </c>
    </row>
    <row r="76">
      <c r="A76" t="inlineStr">
        <is>
          <t>Cass</t>
        </is>
      </c>
      <c r="B76">
        <f>Inputs_State!$B$1</f>
        <v/>
      </c>
      <c r="C76" t="inlineStr">
        <is>
          <t>4</t>
        </is>
      </c>
      <c r="D76" t="n">
        <v>5236</v>
      </c>
      <c r="E76" t="n">
        <v>5085</v>
      </c>
      <c r="F76">
        <f>D76*(1+Inputs_State!$B$2*4)</f>
        <v/>
      </c>
      <c r="G76">
        <f>E76*(1+Inputs_State!$B$2*4)</f>
        <v/>
      </c>
    </row>
    <row r="77">
      <c r="A77" t="inlineStr">
        <is>
          <t>Cass</t>
        </is>
      </c>
      <c r="B77">
        <f>Inputs_State!$B$1</f>
        <v/>
      </c>
      <c r="C77" t="inlineStr">
        <is>
          <t>5</t>
        </is>
      </c>
      <c r="D77" t="n">
        <v>3913</v>
      </c>
      <c r="E77" t="n">
        <v>3846</v>
      </c>
      <c r="F77">
        <f>D77*(1+Inputs_State!$B$2*5)</f>
        <v/>
      </c>
      <c r="G77">
        <f>E77*(1+Inputs_State!$B$2*5)</f>
        <v/>
      </c>
    </row>
    <row r="78">
      <c r="A78" t="inlineStr">
        <is>
          <t>Cass</t>
        </is>
      </c>
      <c r="B78">
        <f>Inputs_State!$B$1</f>
        <v/>
      </c>
      <c r="C78" t="inlineStr">
        <is>
          <t>6+</t>
        </is>
      </c>
      <c r="D78" t="n">
        <v>2282</v>
      </c>
      <c r="E78" t="n">
        <v>2244</v>
      </c>
      <c r="F78">
        <f>D78*(1+Inputs_State!$B$2*6)</f>
        <v/>
      </c>
      <c r="G78">
        <f>E78*(1+Inputs_State!$B$2*6)</f>
        <v/>
      </c>
    </row>
    <row r="79">
      <c r="A79" t="inlineStr">
        <is>
          <t>Chippewa</t>
        </is>
      </c>
      <c r="B79">
        <f>Inputs_State!$B$1</f>
        <v/>
      </c>
      <c r="C79" t="inlineStr">
        <is>
          <t>0</t>
        </is>
      </c>
      <c r="D79" t="n">
        <v>803</v>
      </c>
      <c r="E79" t="n">
        <v>780</v>
      </c>
      <c r="F79">
        <f>D79*(1+Inputs_State!$B$2*0)</f>
        <v/>
      </c>
      <c r="G79">
        <f>E79*(1+Inputs_State!$B$2*0)</f>
        <v/>
      </c>
    </row>
    <row r="80">
      <c r="A80" t="inlineStr">
        <is>
          <t>Chippewa</t>
        </is>
      </c>
      <c r="B80">
        <f>Inputs_State!$B$1</f>
        <v/>
      </c>
      <c r="C80" t="inlineStr">
        <is>
          <t>1</t>
        </is>
      </c>
      <c r="D80" t="n">
        <v>1647</v>
      </c>
      <c r="E80" t="n">
        <v>1483</v>
      </c>
      <c r="F80">
        <f>D80*(1+Inputs_State!$B$2*1)</f>
        <v/>
      </c>
      <c r="G80">
        <f>E80*(1+Inputs_State!$B$2*1)</f>
        <v/>
      </c>
    </row>
    <row r="81">
      <c r="A81" t="inlineStr">
        <is>
          <t>Chippewa</t>
        </is>
      </c>
      <c r="B81">
        <f>Inputs_State!$B$1</f>
        <v/>
      </c>
      <c r="C81" t="inlineStr">
        <is>
          <t>2</t>
        </is>
      </c>
      <c r="D81" t="n">
        <v>2000</v>
      </c>
      <c r="E81" t="n">
        <v>2039</v>
      </c>
      <c r="F81">
        <f>D81*(1+Inputs_State!$B$2*2)</f>
        <v/>
      </c>
      <c r="G81">
        <f>E81*(1+Inputs_State!$B$2*2)</f>
        <v/>
      </c>
    </row>
    <row r="82">
      <c r="A82" t="inlineStr">
        <is>
          <t>Chippewa</t>
        </is>
      </c>
      <c r="B82">
        <f>Inputs_State!$B$1</f>
        <v/>
      </c>
      <c r="C82" t="inlineStr">
        <is>
          <t>3</t>
        </is>
      </c>
      <c r="D82" t="n">
        <v>2030</v>
      </c>
      <c r="E82" t="n">
        <v>1820</v>
      </c>
      <c r="F82">
        <f>D82*(1+Inputs_State!$B$2*3)</f>
        <v/>
      </c>
      <c r="G82">
        <f>E82*(1+Inputs_State!$B$2*3)</f>
        <v/>
      </c>
    </row>
    <row r="83">
      <c r="A83" t="inlineStr">
        <is>
          <t>Chippewa</t>
        </is>
      </c>
      <c r="B83">
        <f>Inputs_State!$B$1</f>
        <v/>
      </c>
      <c r="C83" t="inlineStr">
        <is>
          <t>4</t>
        </is>
      </c>
      <c r="D83" t="n">
        <v>1631</v>
      </c>
      <c r="E83" t="n">
        <v>1566</v>
      </c>
      <c r="F83">
        <f>D83*(1+Inputs_State!$B$2*4)</f>
        <v/>
      </c>
      <c r="G83">
        <f>E83*(1+Inputs_State!$B$2*4)</f>
        <v/>
      </c>
    </row>
    <row r="84">
      <c r="A84" t="inlineStr">
        <is>
          <t>Chippewa</t>
        </is>
      </c>
      <c r="B84">
        <f>Inputs_State!$B$1</f>
        <v/>
      </c>
      <c r="C84" t="inlineStr">
        <is>
          <t>5</t>
        </is>
      </c>
      <c r="D84" t="n">
        <v>1207</v>
      </c>
      <c r="E84" t="n">
        <v>1142</v>
      </c>
      <c r="F84">
        <f>D84*(1+Inputs_State!$B$2*5)</f>
        <v/>
      </c>
      <c r="G84">
        <f>E84*(1+Inputs_State!$B$2*5)</f>
        <v/>
      </c>
    </row>
    <row r="85">
      <c r="A85" t="inlineStr">
        <is>
          <t>Chippewa</t>
        </is>
      </c>
      <c r="B85">
        <f>Inputs_State!$B$1</f>
        <v/>
      </c>
      <c r="C85" t="inlineStr">
        <is>
          <t>6+</t>
        </is>
      </c>
      <c r="D85" t="n">
        <v>686</v>
      </c>
      <c r="E85" t="n">
        <v>665</v>
      </c>
      <c r="F85">
        <f>D85*(1+Inputs_State!$B$2*6)</f>
        <v/>
      </c>
      <c r="G85">
        <f>E85*(1+Inputs_State!$B$2*6)</f>
        <v/>
      </c>
    </row>
    <row r="86">
      <c r="A86" t="inlineStr">
        <is>
          <t>Chisago</t>
        </is>
      </c>
      <c r="B86">
        <f>Inputs_State!$B$1</f>
        <v/>
      </c>
      <c r="C86" t="inlineStr">
        <is>
          <t>0</t>
        </is>
      </c>
      <c r="D86" t="n">
        <v>4210</v>
      </c>
      <c r="E86" t="n">
        <v>3840</v>
      </c>
      <c r="F86">
        <f>D86*(1+Inputs_State!$B$2*0)</f>
        <v/>
      </c>
      <c r="G86">
        <f>E86*(1+Inputs_State!$B$2*0)</f>
        <v/>
      </c>
    </row>
    <row r="87">
      <c r="A87" t="inlineStr">
        <is>
          <t>Chisago</t>
        </is>
      </c>
      <c r="B87">
        <f>Inputs_State!$B$1</f>
        <v/>
      </c>
      <c r="C87" t="inlineStr">
        <is>
          <t>1</t>
        </is>
      </c>
      <c r="D87" t="n">
        <v>8171</v>
      </c>
      <c r="E87" t="n">
        <v>7710</v>
      </c>
      <c r="F87">
        <f>D87*(1+Inputs_State!$B$2*1)</f>
        <v/>
      </c>
      <c r="G87">
        <f>E87*(1+Inputs_State!$B$2*1)</f>
        <v/>
      </c>
    </row>
    <row r="88">
      <c r="A88" t="inlineStr">
        <is>
          <t>Chisago</t>
        </is>
      </c>
      <c r="B88">
        <f>Inputs_State!$B$1</f>
        <v/>
      </c>
      <c r="C88" t="inlineStr">
        <is>
          <t>2</t>
        </is>
      </c>
      <c r="D88" t="n">
        <v>10724</v>
      </c>
      <c r="E88" t="n">
        <v>10211</v>
      </c>
      <c r="F88">
        <f>D88*(1+Inputs_State!$B$2*2)</f>
        <v/>
      </c>
      <c r="G88">
        <f>E88*(1+Inputs_State!$B$2*2)</f>
        <v/>
      </c>
    </row>
    <row r="89">
      <c r="A89" t="inlineStr">
        <is>
          <t>Chisago</t>
        </is>
      </c>
      <c r="B89">
        <f>Inputs_State!$B$1</f>
        <v/>
      </c>
      <c r="C89" t="inlineStr">
        <is>
          <t>3</t>
        </is>
      </c>
      <c r="D89" t="n">
        <v>10384</v>
      </c>
      <c r="E89" t="n">
        <v>9626</v>
      </c>
      <c r="F89">
        <f>D89*(1+Inputs_State!$B$2*3)</f>
        <v/>
      </c>
      <c r="G89">
        <f>E89*(1+Inputs_State!$B$2*3)</f>
        <v/>
      </c>
    </row>
    <row r="90">
      <c r="A90" t="inlineStr">
        <is>
          <t>Chisago</t>
        </is>
      </c>
      <c r="B90">
        <f>Inputs_State!$B$1</f>
        <v/>
      </c>
      <c r="C90" t="inlineStr">
        <is>
          <t>4</t>
        </is>
      </c>
      <c r="D90" t="n">
        <v>8073</v>
      </c>
      <c r="E90" t="n">
        <v>7635</v>
      </c>
      <c r="F90">
        <f>D90*(1+Inputs_State!$B$2*4)</f>
        <v/>
      </c>
      <c r="G90">
        <f>E90*(1+Inputs_State!$B$2*4)</f>
        <v/>
      </c>
    </row>
    <row r="91">
      <c r="A91" t="inlineStr">
        <is>
          <t>Chisago</t>
        </is>
      </c>
      <c r="B91">
        <f>Inputs_State!$B$1</f>
        <v/>
      </c>
      <c r="C91" t="inlineStr">
        <is>
          <t>5</t>
        </is>
      </c>
      <c r="D91" t="n">
        <v>6220</v>
      </c>
      <c r="E91" t="n">
        <v>5773</v>
      </c>
      <c r="F91">
        <f>D91*(1+Inputs_State!$B$2*5)</f>
        <v/>
      </c>
      <c r="G91">
        <f>E91*(1+Inputs_State!$B$2*5)</f>
        <v/>
      </c>
    </row>
    <row r="92">
      <c r="A92" t="inlineStr">
        <is>
          <t>Chisago</t>
        </is>
      </c>
      <c r="B92">
        <f>Inputs_State!$B$1</f>
        <v/>
      </c>
      <c r="C92" t="inlineStr">
        <is>
          <t>6+</t>
        </is>
      </c>
      <c r="D92" t="n">
        <v>3539</v>
      </c>
      <c r="E92" t="n">
        <v>3354</v>
      </c>
      <c r="F92">
        <f>D92*(1+Inputs_State!$B$2*6)</f>
        <v/>
      </c>
      <c r="G92">
        <f>E92*(1+Inputs_State!$B$2*6)</f>
        <v/>
      </c>
    </row>
    <row r="93">
      <c r="A93" t="inlineStr">
        <is>
          <t>Clay</t>
        </is>
      </c>
      <c r="B93">
        <f>Inputs_State!$B$1</f>
        <v/>
      </c>
      <c r="C93" t="inlineStr">
        <is>
          <t>0</t>
        </is>
      </c>
      <c r="D93" t="n">
        <v>2931</v>
      </c>
      <c r="E93" t="n">
        <v>3039</v>
      </c>
      <c r="F93">
        <f>D93*(1+Inputs_State!$B$2*0)</f>
        <v/>
      </c>
      <c r="G93">
        <f>E93*(1+Inputs_State!$B$2*0)</f>
        <v/>
      </c>
    </row>
    <row r="94">
      <c r="A94" t="inlineStr">
        <is>
          <t>Clay</t>
        </is>
      </c>
      <c r="B94">
        <f>Inputs_State!$B$1</f>
        <v/>
      </c>
      <c r="C94" t="inlineStr">
        <is>
          <t>1</t>
        </is>
      </c>
      <c r="D94" t="n">
        <v>5907</v>
      </c>
      <c r="E94" t="n">
        <v>6120</v>
      </c>
      <c r="F94">
        <f>D94*(1+Inputs_State!$B$2*1)</f>
        <v/>
      </c>
      <c r="G94">
        <f>E94*(1+Inputs_State!$B$2*1)</f>
        <v/>
      </c>
    </row>
    <row r="95">
      <c r="A95" t="inlineStr">
        <is>
          <t>Clay</t>
        </is>
      </c>
      <c r="B95">
        <f>Inputs_State!$B$1</f>
        <v/>
      </c>
      <c r="C95" t="inlineStr">
        <is>
          <t>2</t>
        </is>
      </c>
      <c r="D95" t="n">
        <v>7708</v>
      </c>
      <c r="E95" t="n">
        <v>7849</v>
      </c>
      <c r="F95">
        <f>D95*(1+Inputs_State!$B$2*2)</f>
        <v/>
      </c>
      <c r="G95">
        <f>E95*(1+Inputs_State!$B$2*2)</f>
        <v/>
      </c>
    </row>
    <row r="96">
      <c r="A96" t="inlineStr">
        <is>
          <t>Clay</t>
        </is>
      </c>
      <c r="B96">
        <f>Inputs_State!$B$1</f>
        <v/>
      </c>
      <c r="C96" t="inlineStr">
        <is>
          <t>3</t>
        </is>
      </c>
      <c r="D96" t="n">
        <v>7342</v>
      </c>
      <c r="E96" t="n">
        <v>7725</v>
      </c>
      <c r="F96">
        <f>D96*(1+Inputs_State!$B$2*3)</f>
        <v/>
      </c>
      <c r="G96">
        <f>E96*(1+Inputs_State!$B$2*3)</f>
        <v/>
      </c>
    </row>
    <row r="97">
      <c r="A97" t="inlineStr">
        <is>
          <t>Clay</t>
        </is>
      </c>
      <c r="B97">
        <f>Inputs_State!$B$1</f>
        <v/>
      </c>
      <c r="C97" t="inlineStr">
        <is>
          <t>4</t>
        </is>
      </c>
      <c r="D97" t="n">
        <v>5969</v>
      </c>
      <c r="E97" t="n">
        <v>6157</v>
      </c>
      <c r="F97">
        <f>D97*(1+Inputs_State!$B$2*4)</f>
        <v/>
      </c>
      <c r="G97">
        <f>E97*(1+Inputs_State!$B$2*4)</f>
        <v/>
      </c>
    </row>
    <row r="98">
      <c r="A98" t="inlineStr">
        <is>
          <t>Clay</t>
        </is>
      </c>
      <c r="B98">
        <f>Inputs_State!$B$1</f>
        <v/>
      </c>
      <c r="C98" t="inlineStr">
        <is>
          <t>5</t>
        </is>
      </c>
      <c r="D98" t="n">
        <v>4468</v>
      </c>
      <c r="E98" t="n">
        <v>4648</v>
      </c>
      <c r="F98">
        <f>D98*(1+Inputs_State!$B$2*5)</f>
        <v/>
      </c>
      <c r="G98">
        <f>E98*(1+Inputs_State!$B$2*5)</f>
        <v/>
      </c>
    </row>
    <row r="99">
      <c r="A99" t="inlineStr">
        <is>
          <t>Clay</t>
        </is>
      </c>
      <c r="B99">
        <f>Inputs_State!$B$1</f>
        <v/>
      </c>
      <c r="C99" t="inlineStr">
        <is>
          <t>6+</t>
        </is>
      </c>
      <c r="D99" t="n">
        <v>2631</v>
      </c>
      <c r="E99" t="n">
        <v>2633</v>
      </c>
      <c r="F99">
        <f>D99*(1+Inputs_State!$B$2*6)</f>
        <v/>
      </c>
      <c r="G99">
        <f>E99*(1+Inputs_State!$B$2*6)</f>
        <v/>
      </c>
    </row>
    <row r="100">
      <c r="A100" t="inlineStr">
        <is>
          <t>Clearwater</t>
        </is>
      </c>
      <c r="B100">
        <f>Inputs_State!$B$1</f>
        <v/>
      </c>
      <c r="C100" t="inlineStr">
        <is>
          <t>0</t>
        </is>
      </c>
      <c r="D100" t="n">
        <v>1354</v>
      </c>
      <c r="E100" t="n">
        <v>1376</v>
      </c>
      <c r="F100">
        <f>D100*(1+Inputs_State!$B$2*0)</f>
        <v/>
      </c>
      <c r="G100">
        <f>E100*(1+Inputs_State!$B$2*0)</f>
        <v/>
      </c>
    </row>
    <row r="101">
      <c r="A101" t="inlineStr">
        <is>
          <t>Clearwater</t>
        </is>
      </c>
      <c r="B101">
        <f>Inputs_State!$B$1</f>
        <v/>
      </c>
      <c r="C101" t="inlineStr">
        <is>
          <t>1</t>
        </is>
      </c>
      <c r="D101" t="n">
        <v>2683</v>
      </c>
      <c r="E101" t="n">
        <v>2841</v>
      </c>
      <c r="F101">
        <f>D101*(1+Inputs_State!$B$2*1)</f>
        <v/>
      </c>
      <c r="G101">
        <f>E101*(1+Inputs_State!$B$2*1)</f>
        <v/>
      </c>
    </row>
    <row r="102">
      <c r="A102" t="inlineStr">
        <is>
          <t>Clearwater</t>
        </is>
      </c>
      <c r="B102">
        <f>Inputs_State!$B$1</f>
        <v/>
      </c>
      <c r="C102" t="inlineStr">
        <is>
          <t>2</t>
        </is>
      </c>
      <c r="D102" t="n">
        <v>3652</v>
      </c>
      <c r="E102" t="n">
        <v>3507</v>
      </c>
      <c r="F102">
        <f>D102*(1+Inputs_State!$B$2*2)</f>
        <v/>
      </c>
      <c r="G102">
        <f>E102*(1+Inputs_State!$B$2*2)</f>
        <v/>
      </c>
    </row>
    <row r="103">
      <c r="A103" t="inlineStr">
        <is>
          <t>Clearwater</t>
        </is>
      </c>
      <c r="B103">
        <f>Inputs_State!$B$1</f>
        <v/>
      </c>
      <c r="C103" t="inlineStr">
        <is>
          <t>3</t>
        </is>
      </c>
      <c r="D103" t="n">
        <v>3458</v>
      </c>
      <c r="E103" t="n">
        <v>3333</v>
      </c>
      <c r="F103">
        <f>D103*(1+Inputs_State!$B$2*3)</f>
        <v/>
      </c>
      <c r="G103">
        <f>E103*(1+Inputs_State!$B$2*3)</f>
        <v/>
      </c>
    </row>
    <row r="104">
      <c r="A104" t="inlineStr">
        <is>
          <t>Clearwater</t>
        </is>
      </c>
      <c r="B104">
        <f>Inputs_State!$B$1</f>
        <v/>
      </c>
      <c r="C104" t="inlineStr">
        <is>
          <t>4</t>
        </is>
      </c>
      <c r="D104" t="n">
        <v>2658</v>
      </c>
      <c r="E104" t="n">
        <v>2733</v>
      </c>
      <c r="F104">
        <f>D104*(1+Inputs_State!$B$2*4)</f>
        <v/>
      </c>
      <c r="G104">
        <f>E104*(1+Inputs_State!$B$2*4)</f>
        <v/>
      </c>
    </row>
    <row r="105">
      <c r="A105" t="inlineStr">
        <is>
          <t>Clearwater</t>
        </is>
      </c>
      <c r="B105">
        <f>Inputs_State!$B$1</f>
        <v/>
      </c>
      <c r="C105" t="inlineStr">
        <is>
          <t>5</t>
        </is>
      </c>
      <c r="D105" t="n">
        <v>2117</v>
      </c>
      <c r="E105" t="n">
        <v>2083</v>
      </c>
      <c r="F105">
        <f>D105*(1+Inputs_State!$B$2*5)</f>
        <v/>
      </c>
      <c r="G105">
        <f>E105*(1+Inputs_State!$B$2*5)</f>
        <v/>
      </c>
    </row>
    <row r="106">
      <c r="A106" t="inlineStr">
        <is>
          <t>Clearwater</t>
        </is>
      </c>
      <c r="B106">
        <f>Inputs_State!$B$1</f>
        <v/>
      </c>
      <c r="C106" t="inlineStr">
        <is>
          <t>6+</t>
        </is>
      </c>
      <c r="D106" t="n">
        <v>1132</v>
      </c>
      <c r="E106" t="n">
        <v>1146</v>
      </c>
      <c r="F106">
        <f>D106*(1+Inputs_State!$B$2*6)</f>
        <v/>
      </c>
      <c r="G106">
        <f>E106*(1+Inputs_State!$B$2*6)</f>
        <v/>
      </c>
    </row>
    <row r="107">
      <c r="A107" t="inlineStr">
        <is>
          <t>Cook</t>
        </is>
      </c>
      <c r="B107">
        <f>Inputs_State!$B$1</f>
        <v/>
      </c>
      <c r="C107" t="inlineStr">
        <is>
          <t>0</t>
        </is>
      </c>
      <c r="D107" t="n">
        <v>744</v>
      </c>
      <c r="E107" t="n">
        <v>728</v>
      </c>
      <c r="F107">
        <f>D107*(1+Inputs_State!$B$2*0)</f>
        <v/>
      </c>
      <c r="G107">
        <f>E107*(1+Inputs_State!$B$2*0)</f>
        <v/>
      </c>
    </row>
    <row r="108">
      <c r="A108" t="inlineStr">
        <is>
          <t>Cook</t>
        </is>
      </c>
      <c r="B108">
        <f>Inputs_State!$B$1</f>
        <v/>
      </c>
      <c r="C108" t="inlineStr">
        <is>
          <t>1</t>
        </is>
      </c>
      <c r="D108" t="n">
        <v>1403</v>
      </c>
      <c r="E108" t="n">
        <v>1412</v>
      </c>
      <c r="F108">
        <f>D108*(1+Inputs_State!$B$2*1)</f>
        <v/>
      </c>
      <c r="G108">
        <f>E108*(1+Inputs_State!$B$2*1)</f>
        <v/>
      </c>
    </row>
    <row r="109">
      <c r="A109" t="inlineStr">
        <is>
          <t>Cook</t>
        </is>
      </c>
      <c r="B109">
        <f>Inputs_State!$B$1</f>
        <v/>
      </c>
      <c r="C109" t="inlineStr">
        <is>
          <t>2</t>
        </is>
      </c>
      <c r="D109" t="n">
        <v>1965</v>
      </c>
      <c r="E109" t="n">
        <v>1858</v>
      </c>
      <c r="F109">
        <f>D109*(1+Inputs_State!$B$2*2)</f>
        <v/>
      </c>
      <c r="G109">
        <f>E109*(1+Inputs_State!$B$2*2)</f>
        <v/>
      </c>
    </row>
    <row r="110">
      <c r="A110" t="inlineStr">
        <is>
          <t>Cook</t>
        </is>
      </c>
      <c r="B110">
        <f>Inputs_State!$B$1</f>
        <v/>
      </c>
      <c r="C110" t="inlineStr">
        <is>
          <t>3</t>
        </is>
      </c>
      <c r="D110" t="n">
        <v>1754</v>
      </c>
      <c r="E110" t="n">
        <v>1728</v>
      </c>
      <c r="F110">
        <f>D110*(1+Inputs_State!$B$2*3)</f>
        <v/>
      </c>
      <c r="G110">
        <f>E110*(1+Inputs_State!$B$2*3)</f>
        <v/>
      </c>
    </row>
    <row r="111">
      <c r="A111" t="inlineStr">
        <is>
          <t>Cook</t>
        </is>
      </c>
      <c r="B111">
        <f>Inputs_State!$B$1</f>
        <v/>
      </c>
      <c r="C111" t="inlineStr">
        <is>
          <t>4</t>
        </is>
      </c>
      <c r="D111" t="n">
        <v>1413</v>
      </c>
      <c r="E111" t="n">
        <v>1387</v>
      </c>
      <c r="F111">
        <f>D111*(1+Inputs_State!$B$2*4)</f>
        <v/>
      </c>
      <c r="G111">
        <f>E111*(1+Inputs_State!$B$2*4)</f>
        <v/>
      </c>
    </row>
    <row r="112">
      <c r="A112" t="inlineStr">
        <is>
          <t>Cook</t>
        </is>
      </c>
      <c r="B112">
        <f>Inputs_State!$B$1</f>
        <v/>
      </c>
      <c r="C112" t="inlineStr">
        <is>
          <t>5</t>
        </is>
      </c>
      <c r="D112" t="n">
        <v>1081</v>
      </c>
      <c r="E112" t="n">
        <v>1090</v>
      </c>
      <c r="F112">
        <f>D112*(1+Inputs_State!$B$2*5)</f>
        <v/>
      </c>
      <c r="G112">
        <f>E112*(1+Inputs_State!$B$2*5)</f>
        <v/>
      </c>
    </row>
    <row r="113">
      <c r="A113" t="inlineStr">
        <is>
          <t>Cook</t>
        </is>
      </c>
      <c r="B113">
        <f>Inputs_State!$B$1</f>
        <v/>
      </c>
      <c r="C113" t="inlineStr">
        <is>
          <t>6+</t>
        </is>
      </c>
      <c r="D113" t="n">
        <v>690</v>
      </c>
      <c r="E113" t="n">
        <v>619</v>
      </c>
      <c r="F113">
        <f>D113*(1+Inputs_State!$B$2*6)</f>
        <v/>
      </c>
      <c r="G113">
        <f>E113*(1+Inputs_State!$B$2*6)</f>
        <v/>
      </c>
    </row>
    <row r="114">
      <c r="A114" t="inlineStr">
        <is>
          <t>Cottonwood</t>
        </is>
      </c>
      <c r="B114">
        <f>Inputs_State!$B$1</f>
        <v/>
      </c>
      <c r="C114" t="inlineStr">
        <is>
          <t>0</t>
        </is>
      </c>
      <c r="D114" t="n">
        <v>2631</v>
      </c>
      <c r="E114" t="n">
        <v>2407</v>
      </c>
      <c r="F114">
        <f>D114*(1+Inputs_State!$B$2*0)</f>
        <v/>
      </c>
      <c r="G114">
        <f>E114*(1+Inputs_State!$B$2*0)</f>
        <v/>
      </c>
    </row>
    <row r="115">
      <c r="A115" t="inlineStr">
        <is>
          <t>Cottonwood</t>
        </is>
      </c>
      <c r="B115">
        <f>Inputs_State!$B$1</f>
        <v/>
      </c>
      <c r="C115" t="inlineStr">
        <is>
          <t>1</t>
        </is>
      </c>
      <c r="D115" t="n">
        <v>5359</v>
      </c>
      <c r="E115" t="n">
        <v>5024</v>
      </c>
      <c r="F115">
        <f>D115*(1+Inputs_State!$B$2*1)</f>
        <v/>
      </c>
      <c r="G115">
        <f>E115*(1+Inputs_State!$B$2*1)</f>
        <v/>
      </c>
    </row>
    <row r="116">
      <c r="A116" t="inlineStr">
        <is>
          <t>Cottonwood</t>
        </is>
      </c>
      <c r="B116">
        <f>Inputs_State!$B$1</f>
        <v/>
      </c>
      <c r="C116" t="inlineStr">
        <is>
          <t>2</t>
        </is>
      </c>
      <c r="D116" t="n">
        <v>6968</v>
      </c>
      <c r="E116" t="n">
        <v>6723</v>
      </c>
      <c r="F116">
        <f>D116*(1+Inputs_State!$B$2*2)</f>
        <v/>
      </c>
      <c r="G116">
        <f>E116*(1+Inputs_State!$B$2*2)</f>
        <v/>
      </c>
    </row>
    <row r="117">
      <c r="A117" t="inlineStr">
        <is>
          <t>Cottonwood</t>
        </is>
      </c>
      <c r="B117">
        <f>Inputs_State!$B$1</f>
        <v/>
      </c>
      <c r="C117" t="inlineStr">
        <is>
          <t>3</t>
        </is>
      </c>
      <c r="D117" t="n">
        <v>6794</v>
      </c>
      <c r="E117" t="n">
        <v>6253</v>
      </c>
      <c r="F117">
        <f>D117*(1+Inputs_State!$B$2*3)</f>
        <v/>
      </c>
      <c r="G117">
        <f>E117*(1+Inputs_State!$B$2*3)</f>
        <v/>
      </c>
    </row>
    <row r="118">
      <c r="A118" t="inlineStr">
        <is>
          <t>Cottonwood</t>
        </is>
      </c>
      <c r="B118">
        <f>Inputs_State!$B$1</f>
        <v/>
      </c>
      <c r="C118" t="inlineStr">
        <is>
          <t>4</t>
        </is>
      </c>
      <c r="D118" t="n">
        <v>5223</v>
      </c>
      <c r="E118" t="n">
        <v>4894</v>
      </c>
      <c r="F118">
        <f>D118*(1+Inputs_State!$B$2*4)</f>
        <v/>
      </c>
      <c r="G118">
        <f>E118*(1+Inputs_State!$B$2*4)</f>
        <v/>
      </c>
    </row>
    <row r="119">
      <c r="A119" t="inlineStr">
        <is>
          <t>Cottonwood</t>
        </is>
      </c>
      <c r="B119">
        <f>Inputs_State!$B$1</f>
        <v/>
      </c>
      <c r="C119" t="inlineStr">
        <is>
          <t>5</t>
        </is>
      </c>
      <c r="D119" t="n">
        <v>4150</v>
      </c>
      <c r="E119" t="n">
        <v>3750</v>
      </c>
      <c r="F119">
        <f>D119*(1+Inputs_State!$B$2*5)</f>
        <v/>
      </c>
      <c r="G119">
        <f>E119*(1+Inputs_State!$B$2*5)</f>
        <v/>
      </c>
    </row>
    <row r="120">
      <c r="A120" t="inlineStr">
        <is>
          <t>Cottonwood</t>
        </is>
      </c>
      <c r="B120">
        <f>Inputs_State!$B$1</f>
        <v/>
      </c>
      <c r="C120" t="inlineStr">
        <is>
          <t>6+</t>
        </is>
      </c>
      <c r="D120" t="n">
        <v>2358</v>
      </c>
      <c r="E120" t="n">
        <v>2144</v>
      </c>
      <c r="F120">
        <f>D120*(1+Inputs_State!$B$2*6)</f>
        <v/>
      </c>
      <c r="G120">
        <f>E120*(1+Inputs_State!$B$2*6)</f>
        <v/>
      </c>
    </row>
    <row r="121">
      <c r="A121" t="inlineStr">
        <is>
          <t>Crow Wing</t>
        </is>
      </c>
      <c r="B121">
        <f>Inputs_State!$B$1</f>
        <v/>
      </c>
      <c r="C121" t="inlineStr">
        <is>
          <t>0</t>
        </is>
      </c>
      <c r="D121" t="n">
        <v>5207</v>
      </c>
      <c r="E121" t="n">
        <v>4865</v>
      </c>
      <c r="F121">
        <f>D121*(1+Inputs_State!$B$2*0)</f>
        <v/>
      </c>
      <c r="G121">
        <f>E121*(1+Inputs_State!$B$2*0)</f>
        <v/>
      </c>
    </row>
    <row r="122">
      <c r="A122" t="inlineStr">
        <is>
          <t>Crow Wing</t>
        </is>
      </c>
      <c r="B122">
        <f>Inputs_State!$B$1</f>
        <v/>
      </c>
      <c r="C122" t="inlineStr">
        <is>
          <t>1</t>
        </is>
      </c>
      <c r="D122" t="n">
        <v>10365</v>
      </c>
      <c r="E122" t="n">
        <v>9754</v>
      </c>
      <c r="F122">
        <f>D122*(1+Inputs_State!$B$2*1)</f>
        <v/>
      </c>
      <c r="G122">
        <f>E122*(1+Inputs_State!$B$2*1)</f>
        <v/>
      </c>
    </row>
    <row r="123">
      <c r="A123" t="inlineStr">
        <is>
          <t>Crow Wing</t>
        </is>
      </c>
      <c r="B123">
        <f>Inputs_State!$B$1</f>
        <v/>
      </c>
      <c r="C123" t="inlineStr">
        <is>
          <t>2</t>
        </is>
      </c>
      <c r="D123" t="n">
        <v>13585</v>
      </c>
      <c r="E123" t="n">
        <v>12922</v>
      </c>
      <c r="F123">
        <f>D123*(1+Inputs_State!$B$2*2)</f>
        <v/>
      </c>
      <c r="G123">
        <f>E123*(1+Inputs_State!$B$2*2)</f>
        <v/>
      </c>
    </row>
    <row r="124">
      <c r="A124" t="inlineStr">
        <is>
          <t>Crow Wing</t>
        </is>
      </c>
      <c r="B124">
        <f>Inputs_State!$B$1</f>
        <v/>
      </c>
      <c r="C124" t="inlineStr">
        <is>
          <t>3</t>
        </is>
      </c>
      <c r="D124" t="n">
        <v>12931</v>
      </c>
      <c r="E124" t="n">
        <v>12483</v>
      </c>
      <c r="F124">
        <f>D124*(1+Inputs_State!$B$2*3)</f>
        <v/>
      </c>
      <c r="G124">
        <f>E124*(1+Inputs_State!$B$2*3)</f>
        <v/>
      </c>
    </row>
    <row r="125">
      <c r="A125" t="inlineStr">
        <is>
          <t>Crow Wing</t>
        </is>
      </c>
      <c r="B125">
        <f>Inputs_State!$B$1</f>
        <v/>
      </c>
      <c r="C125" t="inlineStr">
        <is>
          <t>4</t>
        </is>
      </c>
      <c r="D125" t="n">
        <v>10397</v>
      </c>
      <c r="E125" t="n">
        <v>9984</v>
      </c>
      <c r="F125">
        <f>D125*(1+Inputs_State!$B$2*4)</f>
        <v/>
      </c>
      <c r="G125">
        <f>E125*(1+Inputs_State!$B$2*4)</f>
        <v/>
      </c>
    </row>
    <row r="126">
      <c r="A126" t="inlineStr">
        <is>
          <t>Crow Wing</t>
        </is>
      </c>
      <c r="B126">
        <f>Inputs_State!$B$1</f>
        <v/>
      </c>
      <c r="C126" t="inlineStr">
        <is>
          <t>5</t>
        </is>
      </c>
      <c r="D126" t="n">
        <v>7779</v>
      </c>
      <c r="E126" t="n">
        <v>7718</v>
      </c>
      <c r="F126">
        <f>D126*(1+Inputs_State!$B$2*5)</f>
        <v/>
      </c>
      <c r="G126">
        <f>E126*(1+Inputs_State!$B$2*5)</f>
        <v/>
      </c>
    </row>
    <row r="127">
      <c r="A127" t="inlineStr">
        <is>
          <t>Crow Wing</t>
        </is>
      </c>
      <c r="B127">
        <f>Inputs_State!$B$1</f>
        <v/>
      </c>
      <c r="C127" t="inlineStr">
        <is>
          <t>6+</t>
        </is>
      </c>
      <c r="D127" t="n">
        <v>4571</v>
      </c>
      <c r="E127" t="n">
        <v>4297</v>
      </c>
      <c r="F127">
        <f>D127*(1+Inputs_State!$B$2*6)</f>
        <v/>
      </c>
      <c r="G127">
        <f>E127*(1+Inputs_State!$B$2*6)</f>
        <v/>
      </c>
    </row>
    <row r="128">
      <c r="A128" t="inlineStr">
        <is>
          <t>Dakota</t>
        </is>
      </c>
      <c r="B128">
        <f>Inputs_State!$B$1</f>
        <v/>
      </c>
      <c r="C128" t="inlineStr">
        <is>
          <t>0</t>
        </is>
      </c>
      <c r="D128" t="n">
        <v>8133</v>
      </c>
      <c r="E128" t="n">
        <v>8054</v>
      </c>
      <c r="F128">
        <f>D128*(1+Inputs_State!$B$2*0)</f>
        <v/>
      </c>
      <c r="G128">
        <f>E128*(1+Inputs_State!$B$2*0)</f>
        <v/>
      </c>
    </row>
    <row r="129">
      <c r="A129" t="inlineStr">
        <is>
          <t>Dakota</t>
        </is>
      </c>
      <c r="B129">
        <f>Inputs_State!$B$1</f>
        <v/>
      </c>
      <c r="C129" t="inlineStr">
        <is>
          <t>1</t>
        </is>
      </c>
      <c r="D129" t="n">
        <v>16176</v>
      </c>
      <c r="E129" t="n">
        <v>16174</v>
      </c>
      <c r="F129">
        <f>D129*(1+Inputs_State!$B$2*1)</f>
        <v/>
      </c>
      <c r="G129">
        <f>E129*(1+Inputs_State!$B$2*1)</f>
        <v/>
      </c>
    </row>
    <row r="130">
      <c r="A130" t="inlineStr">
        <is>
          <t>Dakota</t>
        </is>
      </c>
      <c r="B130">
        <f>Inputs_State!$B$1</f>
        <v/>
      </c>
      <c r="C130" t="inlineStr">
        <is>
          <t>2</t>
        </is>
      </c>
      <c r="D130" t="n">
        <v>21734</v>
      </c>
      <c r="E130" t="n">
        <v>21058</v>
      </c>
      <c r="F130">
        <f>D130*(1+Inputs_State!$B$2*2)</f>
        <v/>
      </c>
      <c r="G130">
        <f>E130*(1+Inputs_State!$B$2*2)</f>
        <v/>
      </c>
    </row>
    <row r="131">
      <c r="A131" t="inlineStr">
        <is>
          <t>Dakota</t>
        </is>
      </c>
      <c r="B131">
        <f>Inputs_State!$B$1</f>
        <v/>
      </c>
      <c r="C131" t="inlineStr">
        <is>
          <t>3</t>
        </is>
      </c>
      <c r="D131" t="n">
        <v>20301</v>
      </c>
      <c r="E131" t="n">
        <v>19819</v>
      </c>
      <c r="F131">
        <f>D131*(1+Inputs_State!$B$2*3)</f>
        <v/>
      </c>
      <c r="G131">
        <f>E131*(1+Inputs_State!$B$2*3)</f>
        <v/>
      </c>
    </row>
    <row r="132">
      <c r="A132" t="inlineStr">
        <is>
          <t>Dakota</t>
        </is>
      </c>
      <c r="B132">
        <f>Inputs_State!$B$1</f>
        <v/>
      </c>
      <c r="C132" t="inlineStr">
        <is>
          <t>4</t>
        </is>
      </c>
      <c r="D132" t="n">
        <v>15905</v>
      </c>
      <c r="E132" t="n">
        <v>16131</v>
      </c>
      <c r="F132">
        <f>D132*(1+Inputs_State!$B$2*4)</f>
        <v/>
      </c>
      <c r="G132">
        <f>E132*(1+Inputs_State!$B$2*4)</f>
        <v/>
      </c>
    </row>
    <row r="133">
      <c r="A133" t="inlineStr">
        <is>
          <t>Dakota</t>
        </is>
      </c>
      <c r="B133">
        <f>Inputs_State!$B$1</f>
        <v/>
      </c>
      <c r="C133" t="inlineStr">
        <is>
          <t>5</t>
        </is>
      </c>
      <c r="D133" t="n">
        <v>12240</v>
      </c>
      <c r="E133" t="n">
        <v>11833</v>
      </c>
      <c r="F133">
        <f>D133*(1+Inputs_State!$B$2*5)</f>
        <v/>
      </c>
      <c r="G133">
        <f>E133*(1+Inputs_State!$B$2*5)</f>
        <v/>
      </c>
    </row>
    <row r="134">
      <c r="A134" t="inlineStr">
        <is>
          <t>Dakota</t>
        </is>
      </c>
      <c r="B134">
        <f>Inputs_State!$B$1</f>
        <v/>
      </c>
      <c r="C134" t="inlineStr">
        <is>
          <t>6+</t>
        </is>
      </c>
      <c r="D134" t="n">
        <v>7106</v>
      </c>
      <c r="E134" t="n">
        <v>6993</v>
      </c>
      <c r="F134">
        <f>D134*(1+Inputs_State!$B$2*6)</f>
        <v/>
      </c>
      <c r="G134">
        <f>E134*(1+Inputs_State!$B$2*6)</f>
        <v/>
      </c>
    </row>
    <row r="135">
      <c r="A135" t="inlineStr">
        <is>
          <t>Dodge</t>
        </is>
      </c>
      <c r="B135">
        <f>Inputs_State!$B$1</f>
        <v/>
      </c>
      <c r="C135" t="inlineStr">
        <is>
          <t>0</t>
        </is>
      </c>
      <c r="D135" t="n">
        <v>2358</v>
      </c>
      <c r="E135" t="n">
        <v>2461</v>
      </c>
      <c r="F135">
        <f>D135*(1+Inputs_State!$B$2*0)</f>
        <v/>
      </c>
      <c r="G135">
        <f>E135*(1+Inputs_State!$B$2*0)</f>
        <v/>
      </c>
    </row>
    <row r="136">
      <c r="A136" t="inlineStr">
        <is>
          <t>Dodge</t>
        </is>
      </c>
      <c r="B136">
        <f>Inputs_State!$B$1</f>
        <v/>
      </c>
      <c r="C136" t="inlineStr">
        <is>
          <t>1</t>
        </is>
      </c>
      <c r="D136" t="n">
        <v>4819</v>
      </c>
      <c r="E136" t="n">
        <v>4754</v>
      </c>
      <c r="F136">
        <f>D136*(1+Inputs_State!$B$2*1)</f>
        <v/>
      </c>
      <c r="G136">
        <f>E136*(1+Inputs_State!$B$2*1)</f>
        <v/>
      </c>
    </row>
    <row r="137">
      <c r="A137" t="inlineStr">
        <is>
          <t>Dodge</t>
        </is>
      </c>
      <c r="B137">
        <f>Inputs_State!$B$1</f>
        <v/>
      </c>
      <c r="C137" t="inlineStr">
        <is>
          <t>2</t>
        </is>
      </c>
      <c r="D137" t="n">
        <v>6317</v>
      </c>
      <c r="E137" t="n">
        <v>6479</v>
      </c>
      <c r="F137">
        <f>D137*(1+Inputs_State!$B$2*2)</f>
        <v/>
      </c>
      <c r="G137">
        <f>E137*(1+Inputs_State!$B$2*2)</f>
        <v/>
      </c>
    </row>
    <row r="138">
      <c r="A138" t="inlineStr">
        <is>
          <t>Dodge</t>
        </is>
      </c>
      <c r="B138">
        <f>Inputs_State!$B$1</f>
        <v/>
      </c>
      <c r="C138" t="inlineStr">
        <is>
          <t>3</t>
        </is>
      </c>
      <c r="D138" t="n">
        <v>6070</v>
      </c>
      <c r="E138" t="n">
        <v>6212</v>
      </c>
      <c r="F138">
        <f>D138*(1+Inputs_State!$B$2*3)</f>
        <v/>
      </c>
      <c r="G138">
        <f>E138*(1+Inputs_State!$B$2*3)</f>
        <v/>
      </c>
    </row>
    <row r="139">
      <c r="A139" t="inlineStr">
        <is>
          <t>Dodge</t>
        </is>
      </c>
      <c r="B139">
        <f>Inputs_State!$B$1</f>
        <v/>
      </c>
      <c r="C139" t="inlineStr">
        <is>
          <t>4</t>
        </is>
      </c>
      <c r="D139" t="n">
        <v>4854</v>
      </c>
      <c r="E139" t="n">
        <v>4763</v>
      </c>
      <c r="F139">
        <f>D139*(1+Inputs_State!$B$2*4)</f>
        <v/>
      </c>
      <c r="G139">
        <f>E139*(1+Inputs_State!$B$2*4)</f>
        <v/>
      </c>
    </row>
    <row r="140">
      <c r="A140" t="inlineStr">
        <is>
          <t>Dodge</t>
        </is>
      </c>
      <c r="B140">
        <f>Inputs_State!$B$1</f>
        <v/>
      </c>
      <c r="C140" t="inlineStr">
        <is>
          <t>5</t>
        </is>
      </c>
      <c r="D140" t="n">
        <v>3592</v>
      </c>
      <c r="E140" t="n">
        <v>3591</v>
      </c>
      <c r="F140">
        <f>D140*(1+Inputs_State!$B$2*5)</f>
        <v/>
      </c>
      <c r="G140">
        <f>E140*(1+Inputs_State!$B$2*5)</f>
        <v/>
      </c>
    </row>
    <row r="141">
      <c r="A141" t="inlineStr">
        <is>
          <t>Dodge</t>
        </is>
      </c>
      <c r="B141">
        <f>Inputs_State!$B$1</f>
        <v/>
      </c>
      <c r="C141" t="inlineStr">
        <is>
          <t>6+</t>
        </is>
      </c>
      <c r="D141" t="n">
        <v>2114</v>
      </c>
      <c r="E141" t="n">
        <v>2153</v>
      </c>
      <c r="F141">
        <f>D141*(1+Inputs_State!$B$2*6)</f>
        <v/>
      </c>
      <c r="G141">
        <f>E141*(1+Inputs_State!$B$2*6)</f>
        <v/>
      </c>
    </row>
    <row r="142">
      <c r="A142" t="inlineStr">
        <is>
          <t>Douglas</t>
        </is>
      </c>
      <c r="B142">
        <f>Inputs_State!$B$1</f>
        <v/>
      </c>
      <c r="C142" t="inlineStr">
        <is>
          <t>0</t>
        </is>
      </c>
      <c r="D142" t="n">
        <v>4524</v>
      </c>
      <c r="E142" t="n">
        <v>4537</v>
      </c>
      <c r="F142">
        <f>D142*(1+Inputs_State!$B$2*0)</f>
        <v/>
      </c>
      <c r="G142">
        <f>E142*(1+Inputs_State!$B$2*0)</f>
        <v/>
      </c>
    </row>
    <row r="143">
      <c r="A143" t="inlineStr">
        <is>
          <t>Douglas</t>
        </is>
      </c>
      <c r="B143">
        <f>Inputs_State!$B$1</f>
        <v/>
      </c>
      <c r="C143" t="inlineStr">
        <is>
          <t>1</t>
        </is>
      </c>
      <c r="D143" t="n">
        <v>8940</v>
      </c>
      <c r="E143" t="n">
        <v>8888</v>
      </c>
      <c r="F143">
        <f>D143*(1+Inputs_State!$B$2*1)</f>
        <v/>
      </c>
      <c r="G143">
        <f>E143*(1+Inputs_State!$B$2*1)</f>
        <v/>
      </c>
    </row>
    <row r="144">
      <c r="A144" t="inlineStr">
        <is>
          <t>Douglas</t>
        </is>
      </c>
      <c r="B144">
        <f>Inputs_State!$B$1</f>
        <v/>
      </c>
      <c r="C144" t="inlineStr">
        <is>
          <t>2</t>
        </is>
      </c>
      <c r="D144" t="n">
        <v>12029</v>
      </c>
      <c r="E144" t="n">
        <v>11592</v>
      </c>
      <c r="F144">
        <f>D144*(1+Inputs_State!$B$2*2)</f>
        <v/>
      </c>
      <c r="G144">
        <f>E144*(1+Inputs_State!$B$2*2)</f>
        <v/>
      </c>
    </row>
    <row r="145">
      <c r="A145" t="inlineStr">
        <is>
          <t>Douglas</t>
        </is>
      </c>
      <c r="B145">
        <f>Inputs_State!$B$1</f>
        <v/>
      </c>
      <c r="C145" t="inlineStr">
        <is>
          <t>3</t>
        </is>
      </c>
      <c r="D145" t="n">
        <v>11285</v>
      </c>
      <c r="E145" t="n">
        <v>11087</v>
      </c>
      <c r="F145">
        <f>D145*(1+Inputs_State!$B$2*3)</f>
        <v/>
      </c>
      <c r="G145">
        <f>E145*(1+Inputs_State!$B$2*3)</f>
        <v/>
      </c>
    </row>
    <row r="146">
      <c r="A146" t="inlineStr">
        <is>
          <t>Douglas</t>
        </is>
      </c>
      <c r="B146">
        <f>Inputs_State!$B$1</f>
        <v/>
      </c>
      <c r="C146" t="inlineStr">
        <is>
          <t>4</t>
        </is>
      </c>
      <c r="D146" t="n">
        <v>9164</v>
      </c>
      <c r="E146" t="n">
        <v>8925</v>
      </c>
      <c r="F146">
        <f>D146*(1+Inputs_State!$B$2*4)</f>
        <v/>
      </c>
      <c r="G146">
        <f>E146*(1+Inputs_State!$B$2*4)</f>
        <v/>
      </c>
    </row>
    <row r="147">
      <c r="A147" t="inlineStr">
        <is>
          <t>Douglas</t>
        </is>
      </c>
      <c r="B147">
        <f>Inputs_State!$B$1</f>
        <v/>
      </c>
      <c r="C147" t="inlineStr">
        <is>
          <t>5</t>
        </is>
      </c>
      <c r="D147" t="n">
        <v>6738</v>
      </c>
      <c r="E147" t="n">
        <v>6601</v>
      </c>
      <c r="F147">
        <f>D147*(1+Inputs_State!$B$2*5)</f>
        <v/>
      </c>
      <c r="G147">
        <f>E147*(1+Inputs_State!$B$2*5)</f>
        <v/>
      </c>
    </row>
    <row r="148">
      <c r="A148" t="inlineStr">
        <is>
          <t>Douglas</t>
        </is>
      </c>
      <c r="B148">
        <f>Inputs_State!$B$1</f>
        <v/>
      </c>
      <c r="C148" t="inlineStr">
        <is>
          <t>6+</t>
        </is>
      </c>
      <c r="D148" t="n">
        <v>4034</v>
      </c>
      <c r="E148" t="n">
        <v>3835</v>
      </c>
      <c r="F148">
        <f>D148*(1+Inputs_State!$B$2*6)</f>
        <v/>
      </c>
      <c r="G148">
        <f>E148*(1+Inputs_State!$B$2*6)</f>
        <v/>
      </c>
    </row>
    <row r="149">
      <c r="A149" t="inlineStr">
        <is>
          <t>Faribault</t>
        </is>
      </c>
      <c r="B149">
        <f>Inputs_State!$B$1</f>
        <v/>
      </c>
      <c r="C149" t="inlineStr">
        <is>
          <t>0</t>
        </is>
      </c>
      <c r="D149" t="n">
        <v>658</v>
      </c>
      <c r="E149" t="n">
        <v>665</v>
      </c>
      <c r="F149">
        <f>D149*(1+Inputs_State!$B$2*0)</f>
        <v/>
      </c>
      <c r="G149">
        <f>E149*(1+Inputs_State!$B$2*0)</f>
        <v/>
      </c>
    </row>
    <row r="150">
      <c r="A150" t="inlineStr">
        <is>
          <t>Faribault</t>
        </is>
      </c>
      <c r="B150">
        <f>Inputs_State!$B$1</f>
        <v/>
      </c>
      <c r="C150" t="inlineStr">
        <is>
          <t>1</t>
        </is>
      </c>
      <c r="D150" t="n">
        <v>1332</v>
      </c>
      <c r="E150" t="n">
        <v>1336</v>
      </c>
      <c r="F150">
        <f>D150*(1+Inputs_State!$B$2*1)</f>
        <v/>
      </c>
      <c r="G150">
        <f>E150*(1+Inputs_State!$B$2*1)</f>
        <v/>
      </c>
    </row>
    <row r="151">
      <c r="A151" t="inlineStr">
        <is>
          <t>Faribault</t>
        </is>
      </c>
      <c r="B151">
        <f>Inputs_State!$B$1</f>
        <v/>
      </c>
      <c r="C151" t="inlineStr">
        <is>
          <t>2</t>
        </is>
      </c>
      <c r="D151" t="n">
        <v>1709</v>
      </c>
      <c r="E151" t="n">
        <v>1716</v>
      </c>
      <c r="F151">
        <f>D151*(1+Inputs_State!$B$2*2)</f>
        <v/>
      </c>
      <c r="G151">
        <f>E151*(1+Inputs_State!$B$2*2)</f>
        <v/>
      </c>
    </row>
    <row r="152">
      <c r="A152" t="inlineStr">
        <is>
          <t>Faribault</t>
        </is>
      </c>
      <c r="B152">
        <f>Inputs_State!$B$1</f>
        <v/>
      </c>
      <c r="C152" t="inlineStr">
        <is>
          <t>3</t>
        </is>
      </c>
      <c r="D152" t="n">
        <v>1651</v>
      </c>
      <c r="E152" t="n">
        <v>1673</v>
      </c>
      <c r="F152">
        <f>D152*(1+Inputs_State!$B$2*3)</f>
        <v/>
      </c>
      <c r="G152">
        <f>E152*(1+Inputs_State!$B$2*3)</f>
        <v/>
      </c>
    </row>
    <row r="153">
      <c r="A153" t="inlineStr">
        <is>
          <t>Faribault</t>
        </is>
      </c>
      <c r="B153">
        <f>Inputs_State!$B$1</f>
        <v/>
      </c>
      <c r="C153" t="inlineStr">
        <is>
          <t>4</t>
        </is>
      </c>
      <c r="D153" t="n">
        <v>1328</v>
      </c>
      <c r="E153" t="n">
        <v>1389</v>
      </c>
      <c r="F153">
        <f>D153*(1+Inputs_State!$B$2*4)</f>
        <v/>
      </c>
      <c r="G153">
        <f>E153*(1+Inputs_State!$B$2*4)</f>
        <v/>
      </c>
    </row>
    <row r="154">
      <c r="A154" t="inlineStr">
        <is>
          <t>Faribault</t>
        </is>
      </c>
      <c r="B154">
        <f>Inputs_State!$B$1</f>
        <v/>
      </c>
      <c r="C154" t="inlineStr">
        <is>
          <t>5</t>
        </is>
      </c>
      <c r="D154" t="n">
        <v>1025</v>
      </c>
      <c r="E154" t="n">
        <v>974</v>
      </c>
      <c r="F154">
        <f>D154*(1+Inputs_State!$B$2*5)</f>
        <v/>
      </c>
      <c r="G154">
        <f>E154*(1+Inputs_State!$B$2*5)</f>
        <v/>
      </c>
    </row>
    <row r="155">
      <c r="A155" t="inlineStr">
        <is>
          <t>Faribault</t>
        </is>
      </c>
      <c r="B155">
        <f>Inputs_State!$B$1</f>
        <v/>
      </c>
      <c r="C155" t="inlineStr">
        <is>
          <t>6+</t>
        </is>
      </c>
      <c r="D155" t="n">
        <v>552</v>
      </c>
      <c r="E155" t="n">
        <v>583</v>
      </c>
      <c r="F155">
        <f>D155*(1+Inputs_State!$B$2*6)</f>
        <v/>
      </c>
      <c r="G155">
        <f>E155*(1+Inputs_State!$B$2*6)</f>
        <v/>
      </c>
    </row>
    <row r="156">
      <c r="A156" t="inlineStr">
        <is>
          <t>Fillmore</t>
        </is>
      </c>
      <c r="B156">
        <f>Inputs_State!$B$1</f>
        <v/>
      </c>
      <c r="C156" t="inlineStr">
        <is>
          <t>0</t>
        </is>
      </c>
      <c r="D156" t="n">
        <v>2160</v>
      </c>
      <c r="E156" t="n">
        <v>2335</v>
      </c>
      <c r="F156">
        <f>D156*(1+Inputs_State!$B$2*0)</f>
        <v/>
      </c>
      <c r="G156">
        <f>E156*(1+Inputs_State!$B$2*0)</f>
        <v/>
      </c>
    </row>
    <row r="157">
      <c r="A157" t="inlineStr">
        <is>
          <t>Fillmore</t>
        </is>
      </c>
      <c r="B157">
        <f>Inputs_State!$B$1</f>
        <v/>
      </c>
      <c r="C157" t="inlineStr">
        <is>
          <t>1</t>
        </is>
      </c>
      <c r="D157" t="n">
        <v>4369</v>
      </c>
      <c r="E157" t="n">
        <v>4488</v>
      </c>
      <c r="F157">
        <f>D157*(1+Inputs_State!$B$2*1)</f>
        <v/>
      </c>
      <c r="G157">
        <f>E157*(1+Inputs_State!$B$2*1)</f>
        <v/>
      </c>
    </row>
    <row r="158">
      <c r="A158" t="inlineStr">
        <is>
          <t>Fillmore</t>
        </is>
      </c>
      <c r="B158">
        <f>Inputs_State!$B$1</f>
        <v/>
      </c>
      <c r="C158" t="inlineStr">
        <is>
          <t>2</t>
        </is>
      </c>
      <c r="D158" t="n">
        <v>5743</v>
      </c>
      <c r="E158" t="n">
        <v>5935</v>
      </c>
      <c r="F158">
        <f>D158*(1+Inputs_State!$B$2*2)</f>
        <v/>
      </c>
      <c r="G158">
        <f>E158*(1+Inputs_State!$B$2*2)</f>
        <v/>
      </c>
    </row>
    <row r="159">
      <c r="A159" t="inlineStr">
        <is>
          <t>Fillmore</t>
        </is>
      </c>
      <c r="B159">
        <f>Inputs_State!$B$1</f>
        <v/>
      </c>
      <c r="C159" t="inlineStr">
        <is>
          <t>3</t>
        </is>
      </c>
      <c r="D159" t="n">
        <v>5404</v>
      </c>
      <c r="E159" t="n">
        <v>5647</v>
      </c>
      <c r="F159">
        <f>D159*(1+Inputs_State!$B$2*3)</f>
        <v/>
      </c>
      <c r="G159">
        <f>E159*(1+Inputs_State!$B$2*3)</f>
        <v/>
      </c>
    </row>
    <row r="160">
      <c r="A160" t="inlineStr">
        <is>
          <t>Fillmore</t>
        </is>
      </c>
      <c r="B160">
        <f>Inputs_State!$B$1</f>
        <v/>
      </c>
      <c r="C160" t="inlineStr">
        <is>
          <t>4</t>
        </is>
      </c>
      <c r="D160" t="n">
        <v>4420</v>
      </c>
      <c r="E160" t="n">
        <v>4566</v>
      </c>
      <c r="F160">
        <f>D160*(1+Inputs_State!$B$2*4)</f>
        <v/>
      </c>
      <c r="G160">
        <f>E160*(1+Inputs_State!$B$2*4)</f>
        <v/>
      </c>
    </row>
    <row r="161">
      <c r="A161" t="inlineStr">
        <is>
          <t>Fillmore</t>
        </is>
      </c>
      <c r="B161">
        <f>Inputs_State!$B$1</f>
        <v/>
      </c>
      <c r="C161" t="inlineStr">
        <is>
          <t>5</t>
        </is>
      </c>
      <c r="D161" t="n">
        <v>3249</v>
      </c>
      <c r="E161" t="n">
        <v>3365</v>
      </c>
      <c r="F161">
        <f>D161*(1+Inputs_State!$B$2*5)</f>
        <v/>
      </c>
      <c r="G161">
        <f>E161*(1+Inputs_State!$B$2*5)</f>
        <v/>
      </c>
    </row>
    <row r="162">
      <c r="A162" t="inlineStr">
        <is>
          <t>Fillmore</t>
        </is>
      </c>
      <c r="B162">
        <f>Inputs_State!$B$1</f>
        <v/>
      </c>
      <c r="C162" t="inlineStr">
        <is>
          <t>6+</t>
        </is>
      </c>
      <c r="D162" t="n">
        <v>1893</v>
      </c>
      <c r="E162" t="n">
        <v>1949</v>
      </c>
      <c r="F162">
        <f>D162*(1+Inputs_State!$B$2*6)</f>
        <v/>
      </c>
      <c r="G162">
        <f>E162*(1+Inputs_State!$B$2*6)</f>
        <v/>
      </c>
    </row>
    <row r="163">
      <c r="A163" t="inlineStr">
        <is>
          <t>Freeborn</t>
        </is>
      </c>
      <c r="B163">
        <f>Inputs_State!$B$1</f>
        <v/>
      </c>
      <c r="C163" t="inlineStr">
        <is>
          <t>0</t>
        </is>
      </c>
      <c r="D163" t="n">
        <v>1650</v>
      </c>
      <c r="E163" t="n">
        <v>1559</v>
      </c>
      <c r="F163">
        <f>D163*(1+Inputs_State!$B$2*0)</f>
        <v/>
      </c>
      <c r="G163">
        <f>E163*(1+Inputs_State!$B$2*0)</f>
        <v/>
      </c>
    </row>
    <row r="164">
      <c r="A164" t="inlineStr">
        <is>
          <t>Freeborn</t>
        </is>
      </c>
      <c r="B164">
        <f>Inputs_State!$B$1</f>
        <v/>
      </c>
      <c r="C164" t="inlineStr">
        <is>
          <t>1</t>
        </is>
      </c>
      <c r="D164" t="n">
        <v>3222</v>
      </c>
      <c r="E164" t="n">
        <v>3163</v>
      </c>
      <c r="F164">
        <f>D164*(1+Inputs_State!$B$2*1)</f>
        <v/>
      </c>
      <c r="G164">
        <f>E164*(1+Inputs_State!$B$2*1)</f>
        <v/>
      </c>
    </row>
    <row r="165">
      <c r="A165" t="inlineStr">
        <is>
          <t>Freeborn</t>
        </is>
      </c>
      <c r="B165">
        <f>Inputs_State!$B$1</f>
        <v/>
      </c>
      <c r="C165" t="inlineStr">
        <is>
          <t>2</t>
        </is>
      </c>
      <c r="D165" t="n">
        <v>4262</v>
      </c>
      <c r="E165" t="n">
        <v>4074</v>
      </c>
      <c r="F165">
        <f>D165*(1+Inputs_State!$B$2*2)</f>
        <v/>
      </c>
      <c r="G165">
        <f>E165*(1+Inputs_State!$B$2*2)</f>
        <v/>
      </c>
    </row>
    <row r="166">
      <c r="A166" t="inlineStr">
        <is>
          <t>Freeborn</t>
        </is>
      </c>
      <c r="B166">
        <f>Inputs_State!$B$1</f>
        <v/>
      </c>
      <c r="C166" t="inlineStr">
        <is>
          <t>3</t>
        </is>
      </c>
      <c r="D166" t="n">
        <v>3958</v>
      </c>
      <c r="E166" t="n">
        <v>4006</v>
      </c>
      <c r="F166">
        <f>D166*(1+Inputs_State!$B$2*3)</f>
        <v/>
      </c>
      <c r="G166">
        <f>E166*(1+Inputs_State!$B$2*3)</f>
        <v/>
      </c>
    </row>
    <row r="167">
      <c r="A167" t="inlineStr">
        <is>
          <t>Freeborn</t>
        </is>
      </c>
      <c r="B167">
        <f>Inputs_State!$B$1</f>
        <v/>
      </c>
      <c r="C167" t="inlineStr">
        <is>
          <t>4</t>
        </is>
      </c>
      <c r="D167" t="n">
        <v>3287</v>
      </c>
      <c r="E167" t="n">
        <v>3152</v>
      </c>
      <c r="F167">
        <f>D167*(1+Inputs_State!$B$2*4)</f>
        <v/>
      </c>
      <c r="G167">
        <f>E167*(1+Inputs_State!$B$2*4)</f>
        <v/>
      </c>
    </row>
    <row r="168">
      <c r="A168" t="inlineStr">
        <is>
          <t>Freeborn</t>
        </is>
      </c>
      <c r="B168">
        <f>Inputs_State!$B$1</f>
        <v/>
      </c>
      <c r="C168" t="inlineStr">
        <is>
          <t>5</t>
        </is>
      </c>
      <c r="D168" t="n">
        <v>2395</v>
      </c>
      <c r="E168" t="n">
        <v>2413</v>
      </c>
      <c r="F168">
        <f>D168*(1+Inputs_State!$B$2*5)</f>
        <v/>
      </c>
      <c r="G168">
        <f>E168*(1+Inputs_State!$B$2*5)</f>
        <v/>
      </c>
    </row>
    <row r="169">
      <c r="A169" t="inlineStr">
        <is>
          <t>Freeborn</t>
        </is>
      </c>
      <c r="B169">
        <f>Inputs_State!$B$1</f>
        <v/>
      </c>
      <c r="C169" t="inlineStr">
        <is>
          <t>6+</t>
        </is>
      </c>
      <c r="D169" t="n">
        <v>1395</v>
      </c>
      <c r="E169" t="n">
        <v>1412</v>
      </c>
      <c r="F169">
        <f>D169*(1+Inputs_State!$B$2*6)</f>
        <v/>
      </c>
      <c r="G169">
        <f>E169*(1+Inputs_State!$B$2*6)</f>
        <v/>
      </c>
    </row>
    <row r="170">
      <c r="A170" t="inlineStr">
        <is>
          <t>Goodhue</t>
        </is>
      </c>
      <c r="B170">
        <f>Inputs_State!$B$1</f>
        <v/>
      </c>
      <c r="C170" t="inlineStr">
        <is>
          <t>0</t>
        </is>
      </c>
      <c r="D170" t="n">
        <v>2939</v>
      </c>
      <c r="E170" t="n">
        <v>3221</v>
      </c>
      <c r="F170">
        <f>D170*(1+Inputs_State!$B$2*0)</f>
        <v/>
      </c>
      <c r="G170">
        <f>E170*(1+Inputs_State!$B$2*0)</f>
        <v/>
      </c>
    </row>
    <row r="171">
      <c r="A171" t="inlineStr">
        <is>
          <t>Goodhue</t>
        </is>
      </c>
      <c r="B171">
        <f>Inputs_State!$B$1</f>
        <v/>
      </c>
      <c r="C171" t="inlineStr">
        <is>
          <t>1</t>
        </is>
      </c>
      <c r="D171" t="n">
        <v>6079</v>
      </c>
      <c r="E171" t="n">
        <v>6394</v>
      </c>
      <c r="F171">
        <f>D171*(1+Inputs_State!$B$2*1)</f>
        <v/>
      </c>
      <c r="G171">
        <f>E171*(1+Inputs_State!$B$2*1)</f>
        <v/>
      </c>
    </row>
    <row r="172">
      <c r="A172" t="inlineStr">
        <is>
          <t>Goodhue</t>
        </is>
      </c>
      <c r="B172">
        <f>Inputs_State!$B$1</f>
        <v/>
      </c>
      <c r="C172" t="inlineStr">
        <is>
          <t>2</t>
        </is>
      </c>
      <c r="D172" t="n">
        <v>7989</v>
      </c>
      <c r="E172" t="n">
        <v>8291</v>
      </c>
      <c r="F172">
        <f>D172*(1+Inputs_State!$B$2*2)</f>
        <v/>
      </c>
      <c r="G172">
        <f>E172*(1+Inputs_State!$B$2*2)</f>
        <v/>
      </c>
    </row>
    <row r="173">
      <c r="A173" t="inlineStr">
        <is>
          <t>Goodhue</t>
        </is>
      </c>
      <c r="B173">
        <f>Inputs_State!$B$1</f>
        <v/>
      </c>
      <c r="C173" t="inlineStr">
        <is>
          <t>3</t>
        </is>
      </c>
      <c r="D173" t="n">
        <v>7777</v>
      </c>
      <c r="E173" t="n">
        <v>7978</v>
      </c>
      <c r="F173">
        <f>D173*(1+Inputs_State!$B$2*3)</f>
        <v/>
      </c>
      <c r="G173">
        <f>E173*(1+Inputs_State!$B$2*3)</f>
        <v/>
      </c>
    </row>
    <row r="174">
      <c r="A174" t="inlineStr">
        <is>
          <t>Goodhue</t>
        </is>
      </c>
      <c r="B174">
        <f>Inputs_State!$B$1</f>
        <v/>
      </c>
      <c r="C174" t="inlineStr">
        <is>
          <t>4</t>
        </is>
      </c>
      <c r="D174" t="n">
        <v>6132</v>
      </c>
      <c r="E174" t="n">
        <v>6409</v>
      </c>
      <c r="F174">
        <f>D174*(1+Inputs_State!$B$2*4)</f>
        <v/>
      </c>
      <c r="G174">
        <f>E174*(1+Inputs_State!$B$2*4)</f>
        <v/>
      </c>
    </row>
    <row r="175">
      <c r="A175" t="inlineStr">
        <is>
          <t>Goodhue</t>
        </is>
      </c>
      <c r="B175">
        <f>Inputs_State!$B$1</f>
        <v/>
      </c>
      <c r="C175" t="inlineStr">
        <is>
          <t>5</t>
        </is>
      </c>
      <c r="D175" t="n">
        <v>4559</v>
      </c>
      <c r="E175" t="n">
        <v>4905</v>
      </c>
      <c r="F175">
        <f>D175*(1+Inputs_State!$B$2*5)</f>
        <v/>
      </c>
      <c r="G175">
        <f>E175*(1+Inputs_State!$B$2*5)</f>
        <v/>
      </c>
    </row>
    <row r="176">
      <c r="A176" t="inlineStr">
        <is>
          <t>Goodhue</t>
        </is>
      </c>
      <c r="B176">
        <f>Inputs_State!$B$1</f>
        <v/>
      </c>
      <c r="C176" t="inlineStr">
        <is>
          <t>6+</t>
        </is>
      </c>
      <c r="D176" t="n">
        <v>2721</v>
      </c>
      <c r="E176" t="n">
        <v>2827</v>
      </c>
      <c r="F176">
        <f>D176*(1+Inputs_State!$B$2*6)</f>
        <v/>
      </c>
      <c r="G176">
        <f>E176*(1+Inputs_State!$B$2*6)</f>
        <v/>
      </c>
    </row>
    <row r="177">
      <c r="A177" t="inlineStr">
        <is>
          <t>Grant</t>
        </is>
      </c>
      <c r="B177">
        <f>Inputs_State!$B$1</f>
        <v/>
      </c>
      <c r="C177" t="inlineStr">
        <is>
          <t>0</t>
        </is>
      </c>
      <c r="D177" t="n">
        <v>1776</v>
      </c>
      <c r="E177" t="n">
        <v>1803</v>
      </c>
      <c r="F177">
        <f>D177*(1+Inputs_State!$B$2*0)</f>
        <v/>
      </c>
      <c r="G177">
        <f>E177*(1+Inputs_State!$B$2*0)</f>
        <v/>
      </c>
    </row>
    <row r="178">
      <c r="A178" t="inlineStr">
        <is>
          <t>Grant</t>
        </is>
      </c>
      <c r="B178">
        <f>Inputs_State!$B$1</f>
        <v/>
      </c>
      <c r="C178" t="inlineStr">
        <is>
          <t>1</t>
        </is>
      </c>
      <c r="D178" t="n">
        <v>3583</v>
      </c>
      <c r="E178" t="n">
        <v>3668</v>
      </c>
      <c r="F178">
        <f>D178*(1+Inputs_State!$B$2*1)</f>
        <v/>
      </c>
      <c r="G178">
        <f>E178*(1+Inputs_State!$B$2*1)</f>
        <v/>
      </c>
    </row>
    <row r="179">
      <c r="A179" t="inlineStr">
        <is>
          <t>Grant</t>
        </is>
      </c>
      <c r="B179">
        <f>Inputs_State!$B$1</f>
        <v/>
      </c>
      <c r="C179" t="inlineStr">
        <is>
          <t>2</t>
        </is>
      </c>
      <c r="D179" t="n">
        <v>4793</v>
      </c>
      <c r="E179" t="n">
        <v>4816</v>
      </c>
      <c r="F179">
        <f>D179*(1+Inputs_State!$B$2*2)</f>
        <v/>
      </c>
      <c r="G179">
        <f>E179*(1+Inputs_State!$B$2*2)</f>
        <v/>
      </c>
    </row>
    <row r="180">
      <c r="A180" t="inlineStr">
        <is>
          <t>Grant</t>
        </is>
      </c>
      <c r="B180">
        <f>Inputs_State!$B$1</f>
        <v/>
      </c>
      <c r="C180" t="inlineStr">
        <is>
          <t>3</t>
        </is>
      </c>
      <c r="D180" t="n">
        <v>4477</v>
      </c>
      <c r="E180" t="n">
        <v>4710</v>
      </c>
      <c r="F180">
        <f>D180*(1+Inputs_State!$B$2*3)</f>
        <v/>
      </c>
      <c r="G180">
        <f>E180*(1+Inputs_State!$B$2*3)</f>
        <v/>
      </c>
    </row>
    <row r="181">
      <c r="A181" t="inlineStr">
        <is>
          <t>Grant</t>
        </is>
      </c>
      <c r="B181">
        <f>Inputs_State!$B$1</f>
        <v/>
      </c>
      <c r="C181" t="inlineStr">
        <is>
          <t>4</t>
        </is>
      </c>
      <c r="D181" t="n">
        <v>3594</v>
      </c>
      <c r="E181" t="n">
        <v>3701</v>
      </c>
      <c r="F181">
        <f>D181*(1+Inputs_State!$B$2*4)</f>
        <v/>
      </c>
      <c r="G181">
        <f>E181*(1+Inputs_State!$B$2*4)</f>
        <v/>
      </c>
    </row>
    <row r="182">
      <c r="A182" t="inlineStr">
        <is>
          <t>Grant</t>
        </is>
      </c>
      <c r="B182">
        <f>Inputs_State!$B$1</f>
        <v/>
      </c>
      <c r="C182" t="inlineStr">
        <is>
          <t>5</t>
        </is>
      </c>
      <c r="D182" t="n">
        <v>2711</v>
      </c>
      <c r="E182" t="n">
        <v>2795</v>
      </c>
      <c r="F182">
        <f>D182*(1+Inputs_State!$B$2*5)</f>
        <v/>
      </c>
      <c r="G182">
        <f>E182*(1+Inputs_State!$B$2*5)</f>
        <v/>
      </c>
    </row>
    <row r="183">
      <c r="A183" t="inlineStr">
        <is>
          <t>Grant</t>
        </is>
      </c>
      <c r="B183">
        <f>Inputs_State!$B$1</f>
        <v/>
      </c>
      <c r="C183" t="inlineStr">
        <is>
          <t>6+</t>
        </is>
      </c>
      <c r="D183" t="n">
        <v>1675</v>
      </c>
      <c r="E183" t="n">
        <v>1535</v>
      </c>
      <c r="F183">
        <f>D183*(1+Inputs_State!$B$2*6)</f>
        <v/>
      </c>
      <c r="G183">
        <f>E183*(1+Inputs_State!$B$2*6)</f>
        <v/>
      </c>
    </row>
    <row r="184">
      <c r="A184" t="inlineStr">
        <is>
          <t>Hennepin</t>
        </is>
      </c>
      <c r="B184">
        <f>Inputs_State!$B$1</f>
        <v/>
      </c>
      <c r="C184" t="inlineStr">
        <is>
          <t>0</t>
        </is>
      </c>
      <c r="D184" t="n">
        <v>6706</v>
      </c>
      <c r="E184" t="n">
        <v>6155</v>
      </c>
      <c r="F184">
        <f>D184*(1+Inputs_State!$B$2*0)</f>
        <v/>
      </c>
      <c r="G184">
        <f>E184*(1+Inputs_State!$B$2*0)</f>
        <v/>
      </c>
    </row>
    <row r="185">
      <c r="A185" t="inlineStr">
        <is>
          <t>Hennepin</t>
        </is>
      </c>
      <c r="B185">
        <f>Inputs_State!$B$1</f>
        <v/>
      </c>
      <c r="C185" t="inlineStr">
        <is>
          <t>1</t>
        </is>
      </c>
      <c r="D185" t="n">
        <v>13494</v>
      </c>
      <c r="E185" t="n">
        <v>12523</v>
      </c>
      <c r="F185">
        <f>D185*(1+Inputs_State!$B$2*1)</f>
        <v/>
      </c>
      <c r="G185">
        <f>E185*(1+Inputs_State!$B$2*1)</f>
        <v/>
      </c>
    </row>
    <row r="186">
      <c r="A186" t="inlineStr">
        <is>
          <t>Hennepin</t>
        </is>
      </c>
      <c r="B186">
        <f>Inputs_State!$B$1</f>
        <v/>
      </c>
      <c r="C186" t="inlineStr">
        <is>
          <t>2</t>
        </is>
      </c>
      <c r="D186" t="n">
        <v>17868</v>
      </c>
      <c r="E186" t="n">
        <v>16320</v>
      </c>
      <c r="F186">
        <f>D186*(1+Inputs_State!$B$2*2)</f>
        <v/>
      </c>
      <c r="G186">
        <f>E186*(1+Inputs_State!$B$2*2)</f>
        <v/>
      </c>
    </row>
    <row r="187">
      <c r="A187" t="inlineStr">
        <is>
          <t>Hennepin</t>
        </is>
      </c>
      <c r="B187">
        <f>Inputs_State!$B$1</f>
        <v/>
      </c>
      <c r="C187" t="inlineStr">
        <is>
          <t>3</t>
        </is>
      </c>
      <c r="D187" t="n">
        <v>17022</v>
      </c>
      <c r="E187" t="n">
        <v>15755</v>
      </c>
      <c r="F187">
        <f>D187*(1+Inputs_State!$B$2*3)</f>
        <v/>
      </c>
      <c r="G187">
        <f>E187*(1+Inputs_State!$B$2*3)</f>
        <v/>
      </c>
    </row>
    <row r="188">
      <c r="A188" t="inlineStr">
        <is>
          <t>Hennepin</t>
        </is>
      </c>
      <c r="B188">
        <f>Inputs_State!$B$1</f>
        <v/>
      </c>
      <c r="C188" t="inlineStr">
        <is>
          <t>4</t>
        </is>
      </c>
      <c r="D188" t="n">
        <v>13619</v>
      </c>
      <c r="E188" t="n">
        <v>12470</v>
      </c>
      <c r="F188">
        <f>D188*(1+Inputs_State!$B$2*4)</f>
        <v/>
      </c>
      <c r="G188">
        <f>E188*(1+Inputs_State!$B$2*4)</f>
        <v/>
      </c>
    </row>
    <row r="189">
      <c r="A189" t="inlineStr">
        <is>
          <t>Hennepin</t>
        </is>
      </c>
      <c r="B189">
        <f>Inputs_State!$B$1</f>
        <v/>
      </c>
      <c r="C189" t="inlineStr">
        <is>
          <t>5</t>
        </is>
      </c>
      <c r="D189" t="n">
        <v>10166</v>
      </c>
      <c r="E189" t="n">
        <v>9452</v>
      </c>
      <c r="F189">
        <f>D189*(1+Inputs_State!$B$2*5)</f>
        <v/>
      </c>
      <c r="G189">
        <f>E189*(1+Inputs_State!$B$2*5)</f>
        <v/>
      </c>
    </row>
    <row r="190">
      <c r="A190" t="inlineStr">
        <is>
          <t>Hennepin</t>
        </is>
      </c>
      <c r="B190">
        <f>Inputs_State!$B$1</f>
        <v/>
      </c>
      <c r="C190" t="inlineStr">
        <is>
          <t>6+</t>
        </is>
      </c>
      <c r="D190" t="n">
        <v>5808</v>
      </c>
      <c r="E190" t="n">
        <v>5587</v>
      </c>
      <c r="F190">
        <f>D190*(1+Inputs_State!$B$2*6)</f>
        <v/>
      </c>
      <c r="G190">
        <f>E190*(1+Inputs_State!$B$2*6)</f>
        <v/>
      </c>
    </row>
    <row r="191">
      <c r="A191" t="inlineStr">
        <is>
          <t>Houston</t>
        </is>
      </c>
      <c r="B191">
        <f>Inputs_State!$B$1</f>
        <v/>
      </c>
      <c r="C191" t="inlineStr">
        <is>
          <t>0</t>
        </is>
      </c>
      <c r="D191" t="n">
        <v>780</v>
      </c>
      <c r="E191" t="n">
        <v>842</v>
      </c>
      <c r="F191">
        <f>D191*(1+Inputs_State!$B$2*0)</f>
        <v/>
      </c>
      <c r="G191">
        <f>E191*(1+Inputs_State!$B$2*0)</f>
        <v/>
      </c>
    </row>
    <row r="192">
      <c r="A192" t="inlineStr">
        <is>
          <t>Houston</t>
        </is>
      </c>
      <c r="B192">
        <f>Inputs_State!$B$1</f>
        <v/>
      </c>
      <c r="C192" t="inlineStr">
        <is>
          <t>1</t>
        </is>
      </c>
      <c r="D192" t="n">
        <v>1568</v>
      </c>
      <c r="E192" t="n">
        <v>1625</v>
      </c>
      <c r="F192">
        <f>D192*(1+Inputs_State!$B$2*1)</f>
        <v/>
      </c>
      <c r="G192">
        <f>E192*(1+Inputs_State!$B$2*1)</f>
        <v/>
      </c>
    </row>
    <row r="193">
      <c r="A193" t="inlineStr">
        <is>
          <t>Houston</t>
        </is>
      </c>
      <c r="B193">
        <f>Inputs_State!$B$1</f>
        <v/>
      </c>
      <c r="C193" t="inlineStr">
        <is>
          <t>2</t>
        </is>
      </c>
      <c r="D193" t="n">
        <v>2091</v>
      </c>
      <c r="E193" t="n">
        <v>2273</v>
      </c>
      <c r="F193">
        <f>D193*(1+Inputs_State!$B$2*2)</f>
        <v/>
      </c>
      <c r="G193">
        <f>E193*(1+Inputs_State!$B$2*2)</f>
        <v/>
      </c>
    </row>
    <row r="194">
      <c r="A194" t="inlineStr">
        <is>
          <t>Houston</t>
        </is>
      </c>
      <c r="B194">
        <f>Inputs_State!$B$1</f>
        <v/>
      </c>
      <c r="C194" t="inlineStr">
        <is>
          <t>3</t>
        </is>
      </c>
      <c r="D194" t="n">
        <v>1979</v>
      </c>
      <c r="E194" t="n">
        <v>2061</v>
      </c>
      <c r="F194">
        <f>D194*(1+Inputs_State!$B$2*3)</f>
        <v/>
      </c>
      <c r="G194">
        <f>E194*(1+Inputs_State!$B$2*3)</f>
        <v/>
      </c>
    </row>
    <row r="195">
      <c r="A195" t="inlineStr">
        <is>
          <t>Houston</t>
        </is>
      </c>
      <c r="B195">
        <f>Inputs_State!$B$1</f>
        <v/>
      </c>
      <c r="C195" t="inlineStr">
        <is>
          <t>4</t>
        </is>
      </c>
      <c r="D195" t="n">
        <v>1635</v>
      </c>
      <c r="E195" t="n">
        <v>1728</v>
      </c>
      <c r="F195">
        <f>D195*(1+Inputs_State!$B$2*4)</f>
        <v/>
      </c>
      <c r="G195">
        <f>E195*(1+Inputs_State!$B$2*4)</f>
        <v/>
      </c>
    </row>
    <row r="196">
      <c r="A196" t="inlineStr">
        <is>
          <t>Houston</t>
        </is>
      </c>
      <c r="B196">
        <f>Inputs_State!$B$1</f>
        <v/>
      </c>
      <c r="C196" t="inlineStr">
        <is>
          <t>5</t>
        </is>
      </c>
      <c r="D196" t="n">
        <v>1259</v>
      </c>
      <c r="E196" t="n">
        <v>1272</v>
      </c>
      <c r="F196">
        <f>D196*(1+Inputs_State!$B$2*5)</f>
        <v/>
      </c>
      <c r="G196">
        <f>E196*(1+Inputs_State!$B$2*5)</f>
        <v/>
      </c>
    </row>
    <row r="197">
      <c r="A197" t="inlineStr">
        <is>
          <t>Houston</t>
        </is>
      </c>
      <c r="B197">
        <f>Inputs_State!$B$1</f>
        <v/>
      </c>
      <c r="C197" t="inlineStr">
        <is>
          <t>6+</t>
        </is>
      </c>
      <c r="D197" t="n">
        <v>714</v>
      </c>
      <c r="E197" t="n">
        <v>736</v>
      </c>
      <c r="F197">
        <f>D197*(1+Inputs_State!$B$2*6)</f>
        <v/>
      </c>
      <c r="G197">
        <f>E197*(1+Inputs_State!$B$2*6)</f>
        <v/>
      </c>
    </row>
    <row r="198">
      <c r="A198" t="inlineStr">
        <is>
          <t>Hubbard</t>
        </is>
      </c>
      <c r="B198">
        <f>Inputs_State!$B$1</f>
        <v/>
      </c>
      <c r="C198" t="inlineStr">
        <is>
          <t>0</t>
        </is>
      </c>
      <c r="D198" t="n">
        <v>778</v>
      </c>
      <c r="E198" t="n">
        <v>730</v>
      </c>
      <c r="F198">
        <f>D198*(1+Inputs_State!$B$2*0)</f>
        <v/>
      </c>
      <c r="G198">
        <f>E198*(1+Inputs_State!$B$2*0)</f>
        <v/>
      </c>
    </row>
    <row r="199">
      <c r="A199" t="inlineStr">
        <is>
          <t>Hubbard</t>
        </is>
      </c>
      <c r="B199">
        <f>Inputs_State!$B$1</f>
        <v/>
      </c>
      <c r="C199" t="inlineStr">
        <is>
          <t>1</t>
        </is>
      </c>
      <c r="D199" t="n">
        <v>1566</v>
      </c>
      <c r="E199" t="n">
        <v>1532</v>
      </c>
      <c r="F199">
        <f>D199*(1+Inputs_State!$B$2*1)</f>
        <v/>
      </c>
      <c r="G199">
        <f>E199*(1+Inputs_State!$B$2*1)</f>
        <v/>
      </c>
    </row>
    <row r="200">
      <c r="A200" t="inlineStr">
        <is>
          <t>Hubbard</t>
        </is>
      </c>
      <c r="B200">
        <f>Inputs_State!$B$1</f>
        <v/>
      </c>
      <c r="C200" t="inlineStr">
        <is>
          <t>2</t>
        </is>
      </c>
      <c r="D200" t="n">
        <v>2106</v>
      </c>
      <c r="E200" t="n">
        <v>2004</v>
      </c>
      <c r="F200">
        <f>D200*(1+Inputs_State!$B$2*2)</f>
        <v/>
      </c>
      <c r="G200">
        <f>E200*(1+Inputs_State!$B$2*2)</f>
        <v/>
      </c>
    </row>
    <row r="201">
      <c r="A201" t="inlineStr">
        <is>
          <t>Hubbard</t>
        </is>
      </c>
      <c r="B201">
        <f>Inputs_State!$B$1</f>
        <v/>
      </c>
      <c r="C201" t="inlineStr">
        <is>
          <t>3</t>
        </is>
      </c>
      <c r="D201" t="n">
        <v>1933</v>
      </c>
      <c r="E201" t="n">
        <v>1866</v>
      </c>
      <c r="F201">
        <f>D201*(1+Inputs_State!$B$2*3)</f>
        <v/>
      </c>
      <c r="G201">
        <f>E201*(1+Inputs_State!$B$2*3)</f>
        <v/>
      </c>
    </row>
    <row r="202">
      <c r="A202" t="inlineStr">
        <is>
          <t>Hubbard</t>
        </is>
      </c>
      <c r="B202">
        <f>Inputs_State!$B$1</f>
        <v/>
      </c>
      <c r="C202" t="inlineStr">
        <is>
          <t>4</t>
        </is>
      </c>
      <c r="D202" t="n">
        <v>1629</v>
      </c>
      <c r="E202" t="n">
        <v>1454</v>
      </c>
      <c r="F202">
        <f>D202*(1+Inputs_State!$B$2*4)</f>
        <v/>
      </c>
      <c r="G202">
        <f>E202*(1+Inputs_State!$B$2*4)</f>
        <v/>
      </c>
    </row>
    <row r="203">
      <c r="A203" t="inlineStr">
        <is>
          <t>Hubbard</t>
        </is>
      </c>
      <c r="B203">
        <f>Inputs_State!$B$1</f>
        <v/>
      </c>
      <c r="C203" t="inlineStr">
        <is>
          <t>5</t>
        </is>
      </c>
      <c r="D203" t="n">
        <v>1184</v>
      </c>
      <c r="E203" t="n">
        <v>1127</v>
      </c>
      <c r="F203">
        <f>D203*(1+Inputs_State!$B$2*5)</f>
        <v/>
      </c>
      <c r="G203">
        <f>E203*(1+Inputs_State!$B$2*5)</f>
        <v/>
      </c>
    </row>
    <row r="204">
      <c r="A204" t="inlineStr">
        <is>
          <t>Hubbard</t>
        </is>
      </c>
      <c r="B204">
        <f>Inputs_State!$B$1</f>
        <v/>
      </c>
      <c r="C204" t="inlineStr">
        <is>
          <t>6+</t>
        </is>
      </c>
      <c r="D204" t="n">
        <v>747</v>
      </c>
      <c r="E204" t="n">
        <v>685</v>
      </c>
      <c r="F204">
        <f>D204*(1+Inputs_State!$B$2*6)</f>
        <v/>
      </c>
      <c r="G204">
        <f>E204*(1+Inputs_State!$B$2*6)</f>
        <v/>
      </c>
    </row>
    <row r="205">
      <c r="A205" t="inlineStr">
        <is>
          <t>Isanti</t>
        </is>
      </c>
      <c r="B205">
        <f>Inputs_State!$B$1</f>
        <v/>
      </c>
      <c r="C205" t="inlineStr">
        <is>
          <t>0</t>
        </is>
      </c>
      <c r="D205" t="n">
        <v>2219</v>
      </c>
      <c r="E205" t="n">
        <v>2086</v>
      </c>
      <c r="F205">
        <f>D205*(1+Inputs_State!$B$2*0)</f>
        <v/>
      </c>
      <c r="G205">
        <f>E205*(1+Inputs_State!$B$2*0)</f>
        <v/>
      </c>
    </row>
    <row r="206">
      <c r="A206" t="inlineStr">
        <is>
          <t>Isanti</t>
        </is>
      </c>
      <c r="B206">
        <f>Inputs_State!$B$1</f>
        <v/>
      </c>
      <c r="C206" t="inlineStr">
        <is>
          <t>1</t>
        </is>
      </c>
      <c r="D206" t="n">
        <v>4324</v>
      </c>
      <c r="E206" t="n">
        <v>4117</v>
      </c>
      <c r="F206">
        <f>D206*(1+Inputs_State!$B$2*1)</f>
        <v/>
      </c>
      <c r="G206">
        <f>E206*(1+Inputs_State!$B$2*1)</f>
        <v/>
      </c>
    </row>
    <row r="207">
      <c r="A207" t="inlineStr">
        <is>
          <t>Isanti</t>
        </is>
      </c>
      <c r="B207">
        <f>Inputs_State!$B$1</f>
        <v/>
      </c>
      <c r="C207" t="inlineStr">
        <is>
          <t>2</t>
        </is>
      </c>
      <c r="D207" t="n">
        <v>5662</v>
      </c>
      <c r="E207" t="n">
        <v>5504</v>
      </c>
      <c r="F207">
        <f>D207*(1+Inputs_State!$B$2*2)</f>
        <v/>
      </c>
      <c r="G207">
        <f>E207*(1+Inputs_State!$B$2*2)</f>
        <v/>
      </c>
    </row>
    <row r="208">
      <c r="A208" t="inlineStr">
        <is>
          <t>Isanti</t>
        </is>
      </c>
      <c r="B208">
        <f>Inputs_State!$B$1</f>
        <v/>
      </c>
      <c r="C208" t="inlineStr">
        <is>
          <t>3</t>
        </is>
      </c>
      <c r="D208" t="n">
        <v>5484</v>
      </c>
      <c r="E208" t="n">
        <v>5282</v>
      </c>
      <c r="F208">
        <f>D208*(1+Inputs_State!$B$2*3)</f>
        <v/>
      </c>
      <c r="G208">
        <f>E208*(1+Inputs_State!$B$2*3)</f>
        <v/>
      </c>
    </row>
    <row r="209">
      <c r="A209" t="inlineStr">
        <is>
          <t>Isanti</t>
        </is>
      </c>
      <c r="B209">
        <f>Inputs_State!$B$1</f>
        <v/>
      </c>
      <c r="C209" t="inlineStr">
        <is>
          <t>4</t>
        </is>
      </c>
      <c r="D209" t="n">
        <v>4359</v>
      </c>
      <c r="E209" t="n">
        <v>3990</v>
      </c>
      <c r="F209">
        <f>D209*(1+Inputs_State!$B$2*4)</f>
        <v/>
      </c>
      <c r="G209">
        <f>E209*(1+Inputs_State!$B$2*4)</f>
        <v/>
      </c>
    </row>
    <row r="210">
      <c r="A210" t="inlineStr">
        <is>
          <t>Isanti</t>
        </is>
      </c>
      <c r="B210">
        <f>Inputs_State!$B$1</f>
        <v/>
      </c>
      <c r="C210" t="inlineStr">
        <is>
          <t>5</t>
        </is>
      </c>
      <c r="D210" t="n">
        <v>3290</v>
      </c>
      <c r="E210" t="n">
        <v>3081</v>
      </c>
      <c r="F210">
        <f>D210*(1+Inputs_State!$B$2*5)</f>
        <v/>
      </c>
      <c r="G210">
        <f>E210*(1+Inputs_State!$B$2*5)</f>
        <v/>
      </c>
    </row>
    <row r="211">
      <c r="A211" t="inlineStr">
        <is>
          <t>Isanti</t>
        </is>
      </c>
      <c r="B211">
        <f>Inputs_State!$B$1</f>
        <v/>
      </c>
      <c r="C211" t="inlineStr">
        <is>
          <t>6+</t>
        </is>
      </c>
      <c r="D211" t="n">
        <v>1933</v>
      </c>
      <c r="E211" t="n">
        <v>1824</v>
      </c>
      <c r="F211">
        <f>D211*(1+Inputs_State!$B$2*6)</f>
        <v/>
      </c>
      <c r="G211">
        <f>E211*(1+Inputs_State!$B$2*6)</f>
        <v/>
      </c>
    </row>
    <row r="212">
      <c r="A212" t="inlineStr">
        <is>
          <t>Itasca</t>
        </is>
      </c>
      <c r="B212">
        <f>Inputs_State!$B$1</f>
        <v/>
      </c>
      <c r="C212" t="inlineStr">
        <is>
          <t>0</t>
        </is>
      </c>
      <c r="D212" t="n">
        <v>1777</v>
      </c>
      <c r="E212" t="n">
        <v>1638</v>
      </c>
      <c r="F212">
        <f>D212*(1+Inputs_State!$B$2*0)</f>
        <v/>
      </c>
      <c r="G212">
        <f>E212*(1+Inputs_State!$B$2*0)</f>
        <v/>
      </c>
    </row>
    <row r="213">
      <c r="A213" t="inlineStr">
        <is>
          <t>Itasca</t>
        </is>
      </c>
      <c r="B213">
        <f>Inputs_State!$B$1</f>
        <v/>
      </c>
      <c r="C213" t="inlineStr">
        <is>
          <t>1</t>
        </is>
      </c>
      <c r="D213" t="n">
        <v>3665</v>
      </c>
      <c r="E213" t="n">
        <v>3439</v>
      </c>
      <c r="F213">
        <f>D213*(1+Inputs_State!$B$2*1)</f>
        <v/>
      </c>
      <c r="G213">
        <f>E213*(1+Inputs_State!$B$2*1)</f>
        <v/>
      </c>
    </row>
    <row r="214">
      <c r="A214" t="inlineStr">
        <is>
          <t>Itasca</t>
        </is>
      </c>
      <c r="B214">
        <f>Inputs_State!$B$1</f>
        <v/>
      </c>
      <c r="C214" t="inlineStr">
        <is>
          <t>2</t>
        </is>
      </c>
      <c r="D214" t="n">
        <v>4738</v>
      </c>
      <c r="E214" t="n">
        <v>4542</v>
      </c>
      <c r="F214">
        <f>D214*(1+Inputs_State!$B$2*2)</f>
        <v/>
      </c>
      <c r="G214">
        <f>E214*(1+Inputs_State!$B$2*2)</f>
        <v/>
      </c>
    </row>
    <row r="215">
      <c r="A215" t="inlineStr">
        <is>
          <t>Itasca</t>
        </is>
      </c>
      <c r="B215">
        <f>Inputs_State!$B$1</f>
        <v/>
      </c>
      <c r="C215" t="inlineStr">
        <is>
          <t>3</t>
        </is>
      </c>
      <c r="D215" t="n">
        <v>4669</v>
      </c>
      <c r="E215" t="n">
        <v>4353</v>
      </c>
      <c r="F215">
        <f>D215*(1+Inputs_State!$B$2*3)</f>
        <v/>
      </c>
      <c r="G215">
        <f>E215*(1+Inputs_State!$B$2*3)</f>
        <v/>
      </c>
    </row>
    <row r="216">
      <c r="A216" t="inlineStr">
        <is>
          <t>Itasca</t>
        </is>
      </c>
      <c r="B216">
        <f>Inputs_State!$B$1</f>
        <v/>
      </c>
      <c r="C216" t="inlineStr">
        <is>
          <t>4</t>
        </is>
      </c>
      <c r="D216" t="n">
        <v>3660</v>
      </c>
      <c r="E216" t="n">
        <v>3461</v>
      </c>
      <c r="F216">
        <f>D216*(1+Inputs_State!$B$2*4)</f>
        <v/>
      </c>
      <c r="G216">
        <f>E216*(1+Inputs_State!$B$2*4)</f>
        <v/>
      </c>
    </row>
    <row r="217">
      <c r="A217" t="inlineStr">
        <is>
          <t>Itasca</t>
        </is>
      </c>
      <c r="B217">
        <f>Inputs_State!$B$1</f>
        <v/>
      </c>
      <c r="C217" t="inlineStr">
        <is>
          <t>5</t>
        </is>
      </c>
      <c r="D217" t="n">
        <v>2875</v>
      </c>
      <c r="E217" t="n">
        <v>2618</v>
      </c>
      <c r="F217">
        <f>D217*(1+Inputs_State!$B$2*5)</f>
        <v/>
      </c>
      <c r="G217">
        <f>E217*(1+Inputs_State!$B$2*5)</f>
        <v/>
      </c>
    </row>
    <row r="218">
      <c r="A218" t="inlineStr">
        <is>
          <t>Itasca</t>
        </is>
      </c>
      <c r="B218">
        <f>Inputs_State!$B$1</f>
        <v/>
      </c>
      <c r="C218" t="inlineStr">
        <is>
          <t>6+</t>
        </is>
      </c>
      <c r="D218" t="n">
        <v>1611</v>
      </c>
      <c r="E218" t="n">
        <v>1461</v>
      </c>
      <c r="F218">
        <f>D218*(1+Inputs_State!$B$2*6)</f>
        <v/>
      </c>
      <c r="G218">
        <f>E218*(1+Inputs_State!$B$2*6)</f>
        <v/>
      </c>
    </row>
    <row r="219">
      <c r="A219" t="inlineStr">
        <is>
          <t>Jackson</t>
        </is>
      </c>
      <c r="B219">
        <f>Inputs_State!$B$1</f>
        <v/>
      </c>
      <c r="C219" t="inlineStr">
        <is>
          <t>0</t>
        </is>
      </c>
      <c r="D219" t="n">
        <v>1815</v>
      </c>
      <c r="E219" t="n">
        <v>1710</v>
      </c>
      <c r="F219">
        <f>D219*(1+Inputs_State!$B$2*0)</f>
        <v/>
      </c>
      <c r="G219">
        <f>E219*(1+Inputs_State!$B$2*0)</f>
        <v/>
      </c>
    </row>
    <row r="220">
      <c r="A220" t="inlineStr">
        <is>
          <t>Jackson</t>
        </is>
      </c>
      <c r="B220">
        <f>Inputs_State!$B$1</f>
        <v/>
      </c>
      <c r="C220" t="inlineStr">
        <is>
          <t>1</t>
        </is>
      </c>
      <c r="D220" t="n">
        <v>3639</v>
      </c>
      <c r="E220" t="n">
        <v>3357</v>
      </c>
      <c r="F220">
        <f>D220*(1+Inputs_State!$B$2*1)</f>
        <v/>
      </c>
      <c r="G220">
        <f>E220*(1+Inputs_State!$B$2*1)</f>
        <v/>
      </c>
    </row>
    <row r="221">
      <c r="A221" t="inlineStr">
        <is>
          <t>Jackson</t>
        </is>
      </c>
      <c r="B221">
        <f>Inputs_State!$B$1</f>
        <v/>
      </c>
      <c r="C221" t="inlineStr">
        <is>
          <t>2</t>
        </is>
      </c>
      <c r="D221" t="n">
        <v>4678</v>
      </c>
      <c r="E221" t="n">
        <v>4567</v>
      </c>
      <c r="F221">
        <f>D221*(1+Inputs_State!$B$2*2)</f>
        <v/>
      </c>
      <c r="G221">
        <f>E221*(1+Inputs_State!$B$2*2)</f>
        <v/>
      </c>
    </row>
    <row r="222">
      <c r="A222" t="inlineStr">
        <is>
          <t>Jackson</t>
        </is>
      </c>
      <c r="B222">
        <f>Inputs_State!$B$1</f>
        <v/>
      </c>
      <c r="C222" t="inlineStr">
        <is>
          <t>3</t>
        </is>
      </c>
      <c r="D222" t="n">
        <v>4509</v>
      </c>
      <c r="E222" t="n">
        <v>4269</v>
      </c>
      <c r="F222">
        <f>D222*(1+Inputs_State!$B$2*3)</f>
        <v/>
      </c>
      <c r="G222">
        <f>E222*(1+Inputs_State!$B$2*3)</f>
        <v/>
      </c>
    </row>
    <row r="223">
      <c r="A223" t="inlineStr">
        <is>
          <t>Jackson</t>
        </is>
      </c>
      <c r="B223">
        <f>Inputs_State!$B$1</f>
        <v/>
      </c>
      <c r="C223" t="inlineStr">
        <is>
          <t>4</t>
        </is>
      </c>
      <c r="D223" t="n">
        <v>3546</v>
      </c>
      <c r="E223" t="n">
        <v>3376</v>
      </c>
      <c r="F223">
        <f>D223*(1+Inputs_State!$B$2*4)</f>
        <v/>
      </c>
      <c r="G223">
        <f>E223*(1+Inputs_State!$B$2*4)</f>
        <v/>
      </c>
    </row>
    <row r="224">
      <c r="A224" t="inlineStr">
        <is>
          <t>Jackson</t>
        </is>
      </c>
      <c r="B224">
        <f>Inputs_State!$B$1</f>
        <v/>
      </c>
      <c r="C224" t="inlineStr">
        <is>
          <t>5</t>
        </is>
      </c>
      <c r="D224" t="n">
        <v>2709</v>
      </c>
      <c r="E224" t="n">
        <v>2533</v>
      </c>
      <c r="F224">
        <f>D224*(1+Inputs_State!$B$2*5)</f>
        <v/>
      </c>
      <c r="G224">
        <f>E224*(1+Inputs_State!$B$2*5)</f>
        <v/>
      </c>
    </row>
    <row r="225">
      <c r="A225" t="inlineStr">
        <is>
          <t>Jackson</t>
        </is>
      </c>
      <c r="B225">
        <f>Inputs_State!$B$1</f>
        <v/>
      </c>
      <c r="C225" t="inlineStr">
        <is>
          <t>6+</t>
        </is>
      </c>
      <c r="D225" t="n">
        <v>1542</v>
      </c>
      <c r="E225" t="n">
        <v>1481</v>
      </c>
      <c r="F225">
        <f>D225*(1+Inputs_State!$B$2*6)</f>
        <v/>
      </c>
      <c r="G225">
        <f>E225*(1+Inputs_State!$B$2*6)</f>
        <v/>
      </c>
    </row>
    <row r="226">
      <c r="A226" t="inlineStr">
        <is>
          <t>Kanabec</t>
        </is>
      </c>
      <c r="B226">
        <f>Inputs_State!$B$1</f>
        <v/>
      </c>
      <c r="C226" t="inlineStr">
        <is>
          <t>0</t>
        </is>
      </c>
      <c r="D226" t="n">
        <v>989</v>
      </c>
      <c r="E226" t="n">
        <v>994</v>
      </c>
      <c r="F226">
        <f>D226*(1+Inputs_State!$B$2*0)</f>
        <v/>
      </c>
      <c r="G226">
        <f>E226*(1+Inputs_State!$B$2*0)</f>
        <v/>
      </c>
    </row>
    <row r="227">
      <c r="A227" t="inlineStr">
        <is>
          <t>Kanabec</t>
        </is>
      </c>
      <c r="B227">
        <f>Inputs_State!$B$1</f>
        <v/>
      </c>
      <c r="C227" t="inlineStr">
        <is>
          <t>1</t>
        </is>
      </c>
      <c r="D227" t="n">
        <v>2041</v>
      </c>
      <c r="E227" t="n">
        <v>1964</v>
      </c>
      <c r="F227">
        <f>D227*(1+Inputs_State!$B$2*1)</f>
        <v/>
      </c>
      <c r="G227">
        <f>E227*(1+Inputs_State!$B$2*1)</f>
        <v/>
      </c>
    </row>
    <row r="228">
      <c r="A228" t="inlineStr">
        <is>
          <t>Kanabec</t>
        </is>
      </c>
      <c r="B228">
        <f>Inputs_State!$B$1</f>
        <v/>
      </c>
      <c r="C228" t="inlineStr">
        <is>
          <t>2</t>
        </is>
      </c>
      <c r="D228" t="n">
        <v>2712</v>
      </c>
      <c r="E228" t="n">
        <v>2695</v>
      </c>
      <c r="F228">
        <f>D228*(1+Inputs_State!$B$2*2)</f>
        <v/>
      </c>
      <c r="G228">
        <f>E228*(1+Inputs_State!$B$2*2)</f>
        <v/>
      </c>
    </row>
    <row r="229">
      <c r="A229" t="inlineStr">
        <is>
          <t>Kanabec</t>
        </is>
      </c>
      <c r="B229">
        <f>Inputs_State!$B$1</f>
        <v/>
      </c>
      <c r="C229" t="inlineStr">
        <is>
          <t>3</t>
        </is>
      </c>
      <c r="D229" t="n">
        <v>2523</v>
      </c>
      <c r="E229" t="n">
        <v>2480</v>
      </c>
      <c r="F229">
        <f>D229*(1+Inputs_State!$B$2*3)</f>
        <v/>
      </c>
      <c r="G229">
        <f>E229*(1+Inputs_State!$B$2*3)</f>
        <v/>
      </c>
    </row>
    <row r="230">
      <c r="A230" t="inlineStr">
        <is>
          <t>Kanabec</t>
        </is>
      </c>
      <c r="B230">
        <f>Inputs_State!$B$1</f>
        <v/>
      </c>
      <c r="C230" t="inlineStr">
        <is>
          <t>4</t>
        </is>
      </c>
      <c r="D230" t="n">
        <v>2031</v>
      </c>
      <c r="E230" t="n">
        <v>2003</v>
      </c>
      <c r="F230">
        <f>D230*(1+Inputs_State!$B$2*4)</f>
        <v/>
      </c>
      <c r="G230">
        <f>E230*(1+Inputs_State!$B$2*4)</f>
        <v/>
      </c>
    </row>
    <row r="231">
      <c r="A231" t="inlineStr">
        <is>
          <t>Kanabec</t>
        </is>
      </c>
      <c r="B231">
        <f>Inputs_State!$B$1</f>
        <v/>
      </c>
      <c r="C231" t="inlineStr">
        <is>
          <t>5</t>
        </is>
      </c>
      <c r="D231" t="n">
        <v>1563</v>
      </c>
      <c r="E231" t="n">
        <v>1456</v>
      </c>
      <c r="F231">
        <f>D231*(1+Inputs_State!$B$2*5)</f>
        <v/>
      </c>
      <c r="G231">
        <f>E231*(1+Inputs_State!$B$2*5)</f>
        <v/>
      </c>
    </row>
    <row r="232">
      <c r="A232" t="inlineStr">
        <is>
          <t>Kanabec</t>
        </is>
      </c>
      <c r="B232">
        <f>Inputs_State!$B$1</f>
        <v/>
      </c>
      <c r="C232" t="inlineStr">
        <is>
          <t>6+</t>
        </is>
      </c>
      <c r="D232" t="n">
        <v>900</v>
      </c>
      <c r="E232" t="n">
        <v>905</v>
      </c>
      <c r="F232">
        <f>D232*(1+Inputs_State!$B$2*6)</f>
        <v/>
      </c>
      <c r="G232">
        <f>E232*(1+Inputs_State!$B$2*6)</f>
        <v/>
      </c>
    </row>
    <row r="233">
      <c r="A233" t="inlineStr">
        <is>
          <t>Kandiyohi</t>
        </is>
      </c>
      <c r="B233">
        <f>Inputs_State!$B$1</f>
        <v/>
      </c>
      <c r="C233" t="inlineStr">
        <is>
          <t>0</t>
        </is>
      </c>
      <c r="D233" t="n">
        <v>2237</v>
      </c>
      <c r="E233" t="n">
        <v>2085</v>
      </c>
      <c r="F233">
        <f>D233*(1+Inputs_State!$B$2*0)</f>
        <v/>
      </c>
      <c r="G233">
        <f>E233*(1+Inputs_State!$B$2*0)</f>
        <v/>
      </c>
    </row>
    <row r="234">
      <c r="A234" t="inlineStr">
        <is>
          <t>Kandiyohi</t>
        </is>
      </c>
      <c r="B234">
        <f>Inputs_State!$B$1</f>
        <v/>
      </c>
      <c r="C234" t="inlineStr">
        <is>
          <t>1</t>
        </is>
      </c>
      <c r="D234" t="n">
        <v>4503</v>
      </c>
      <c r="E234" t="n">
        <v>4243</v>
      </c>
      <c r="F234">
        <f>D234*(1+Inputs_State!$B$2*1)</f>
        <v/>
      </c>
      <c r="G234">
        <f>E234*(1+Inputs_State!$B$2*1)</f>
        <v/>
      </c>
    </row>
    <row r="235">
      <c r="A235" t="inlineStr">
        <is>
          <t>Kandiyohi</t>
        </is>
      </c>
      <c r="B235">
        <f>Inputs_State!$B$1</f>
        <v/>
      </c>
      <c r="C235" t="inlineStr">
        <is>
          <t>2</t>
        </is>
      </c>
      <c r="D235" t="n">
        <v>5772</v>
      </c>
      <c r="E235" t="n">
        <v>5522</v>
      </c>
      <c r="F235">
        <f>D235*(1+Inputs_State!$B$2*2)</f>
        <v/>
      </c>
      <c r="G235">
        <f>E235*(1+Inputs_State!$B$2*2)</f>
        <v/>
      </c>
    </row>
    <row r="236">
      <c r="A236" t="inlineStr">
        <is>
          <t>Kandiyohi</t>
        </is>
      </c>
      <c r="B236">
        <f>Inputs_State!$B$1</f>
        <v/>
      </c>
      <c r="C236" t="inlineStr">
        <is>
          <t>3</t>
        </is>
      </c>
      <c r="D236" t="n">
        <v>5606</v>
      </c>
      <c r="E236" t="n">
        <v>5221</v>
      </c>
      <c r="F236">
        <f>D236*(1+Inputs_State!$B$2*3)</f>
        <v/>
      </c>
      <c r="G236">
        <f>E236*(1+Inputs_State!$B$2*3)</f>
        <v/>
      </c>
    </row>
    <row r="237">
      <c r="A237" t="inlineStr">
        <is>
          <t>Kandiyohi</t>
        </is>
      </c>
      <c r="B237">
        <f>Inputs_State!$B$1</f>
        <v/>
      </c>
      <c r="C237" t="inlineStr">
        <is>
          <t>4</t>
        </is>
      </c>
      <c r="D237" t="n">
        <v>4322</v>
      </c>
      <c r="E237" t="n">
        <v>4074</v>
      </c>
      <c r="F237">
        <f>D237*(1+Inputs_State!$B$2*4)</f>
        <v/>
      </c>
      <c r="G237">
        <f>E237*(1+Inputs_State!$B$2*4)</f>
        <v/>
      </c>
    </row>
    <row r="238">
      <c r="A238" t="inlineStr">
        <is>
          <t>Kandiyohi</t>
        </is>
      </c>
      <c r="B238">
        <f>Inputs_State!$B$1</f>
        <v/>
      </c>
      <c r="C238" t="inlineStr">
        <is>
          <t>5</t>
        </is>
      </c>
      <c r="D238" t="n">
        <v>3251</v>
      </c>
      <c r="E238" t="n">
        <v>3187</v>
      </c>
      <c r="F238">
        <f>D238*(1+Inputs_State!$B$2*5)</f>
        <v/>
      </c>
      <c r="G238">
        <f>E238*(1+Inputs_State!$B$2*5)</f>
        <v/>
      </c>
    </row>
    <row r="239">
      <c r="A239" t="inlineStr">
        <is>
          <t>Kandiyohi</t>
        </is>
      </c>
      <c r="B239">
        <f>Inputs_State!$B$1</f>
        <v/>
      </c>
      <c r="C239" t="inlineStr">
        <is>
          <t>6+</t>
        </is>
      </c>
      <c r="D239" t="n">
        <v>2031</v>
      </c>
      <c r="E239" t="n">
        <v>1774</v>
      </c>
      <c r="F239">
        <f>D239*(1+Inputs_State!$B$2*6)</f>
        <v/>
      </c>
      <c r="G239">
        <f>E239*(1+Inputs_State!$B$2*6)</f>
        <v/>
      </c>
    </row>
    <row r="240">
      <c r="A240" t="inlineStr">
        <is>
          <t>Kittson</t>
        </is>
      </c>
      <c r="B240">
        <f>Inputs_State!$B$1</f>
        <v/>
      </c>
      <c r="C240" t="inlineStr">
        <is>
          <t>0</t>
        </is>
      </c>
      <c r="D240" t="n">
        <v>1392</v>
      </c>
      <c r="E240" t="n">
        <v>1457</v>
      </c>
      <c r="F240">
        <f>D240*(1+Inputs_State!$B$2*0)</f>
        <v/>
      </c>
      <c r="G240">
        <f>E240*(1+Inputs_State!$B$2*0)</f>
        <v/>
      </c>
    </row>
    <row r="241">
      <c r="A241" t="inlineStr">
        <is>
          <t>Kittson</t>
        </is>
      </c>
      <c r="B241">
        <f>Inputs_State!$B$1</f>
        <v/>
      </c>
      <c r="C241" t="inlineStr">
        <is>
          <t>1</t>
        </is>
      </c>
      <c r="D241" t="n">
        <v>2927</v>
      </c>
      <c r="E241" t="n">
        <v>2827</v>
      </c>
      <c r="F241">
        <f>D241*(1+Inputs_State!$B$2*1)</f>
        <v/>
      </c>
      <c r="G241">
        <f>E241*(1+Inputs_State!$B$2*1)</f>
        <v/>
      </c>
    </row>
    <row r="242">
      <c r="A242" t="inlineStr">
        <is>
          <t>Kittson</t>
        </is>
      </c>
      <c r="B242">
        <f>Inputs_State!$B$1</f>
        <v/>
      </c>
      <c r="C242" t="inlineStr">
        <is>
          <t>2</t>
        </is>
      </c>
      <c r="D242" t="n">
        <v>3818</v>
      </c>
      <c r="E242" t="n">
        <v>3812</v>
      </c>
      <c r="F242">
        <f>D242*(1+Inputs_State!$B$2*2)</f>
        <v/>
      </c>
      <c r="G242">
        <f>E242*(1+Inputs_State!$B$2*2)</f>
        <v/>
      </c>
    </row>
    <row r="243">
      <c r="A243" t="inlineStr">
        <is>
          <t>Kittson</t>
        </is>
      </c>
      <c r="B243">
        <f>Inputs_State!$B$1</f>
        <v/>
      </c>
      <c r="C243" t="inlineStr">
        <is>
          <t>3</t>
        </is>
      </c>
      <c r="D243" t="n">
        <v>3545</v>
      </c>
      <c r="E243" t="n">
        <v>3673</v>
      </c>
      <c r="F243">
        <f>D243*(1+Inputs_State!$B$2*3)</f>
        <v/>
      </c>
      <c r="G243">
        <f>E243*(1+Inputs_State!$B$2*3)</f>
        <v/>
      </c>
    </row>
    <row r="244">
      <c r="A244" t="inlineStr">
        <is>
          <t>Kittson</t>
        </is>
      </c>
      <c r="B244">
        <f>Inputs_State!$B$1</f>
        <v/>
      </c>
      <c r="C244" t="inlineStr">
        <is>
          <t>4</t>
        </is>
      </c>
      <c r="D244" t="n">
        <v>2939</v>
      </c>
      <c r="E244" t="n">
        <v>2966</v>
      </c>
      <c r="F244">
        <f>D244*(1+Inputs_State!$B$2*4)</f>
        <v/>
      </c>
      <c r="G244">
        <f>E244*(1+Inputs_State!$B$2*4)</f>
        <v/>
      </c>
    </row>
    <row r="245">
      <c r="A245" t="inlineStr">
        <is>
          <t>Kittson</t>
        </is>
      </c>
      <c r="B245">
        <f>Inputs_State!$B$1</f>
        <v/>
      </c>
      <c r="C245" t="inlineStr">
        <is>
          <t>5</t>
        </is>
      </c>
      <c r="D245" t="n">
        <v>2144</v>
      </c>
      <c r="E245" t="n">
        <v>2203</v>
      </c>
      <c r="F245">
        <f>D245*(1+Inputs_State!$B$2*5)</f>
        <v/>
      </c>
      <c r="G245">
        <f>E245*(1+Inputs_State!$B$2*5)</f>
        <v/>
      </c>
    </row>
    <row r="246">
      <c r="A246" t="inlineStr">
        <is>
          <t>Kittson</t>
        </is>
      </c>
      <c r="B246">
        <f>Inputs_State!$B$1</f>
        <v/>
      </c>
      <c r="C246" t="inlineStr">
        <is>
          <t>6+</t>
        </is>
      </c>
      <c r="D246" t="n">
        <v>1313</v>
      </c>
      <c r="E246" t="n">
        <v>1311</v>
      </c>
      <c r="F246">
        <f>D246*(1+Inputs_State!$B$2*6)</f>
        <v/>
      </c>
      <c r="G246">
        <f>E246*(1+Inputs_State!$B$2*6)</f>
        <v/>
      </c>
    </row>
    <row r="247">
      <c r="A247" t="inlineStr">
        <is>
          <t>Koochiching</t>
        </is>
      </c>
      <c r="B247">
        <f>Inputs_State!$B$1</f>
        <v/>
      </c>
      <c r="C247" t="inlineStr">
        <is>
          <t>0</t>
        </is>
      </c>
      <c r="D247" t="n">
        <v>807</v>
      </c>
      <c r="E247" t="n">
        <v>797</v>
      </c>
      <c r="F247">
        <f>D247*(1+Inputs_State!$B$2*0)</f>
        <v/>
      </c>
      <c r="G247">
        <f>E247*(1+Inputs_State!$B$2*0)</f>
        <v/>
      </c>
    </row>
    <row r="248">
      <c r="A248" t="inlineStr">
        <is>
          <t>Koochiching</t>
        </is>
      </c>
      <c r="B248">
        <f>Inputs_State!$B$1</f>
        <v/>
      </c>
      <c r="C248" t="inlineStr">
        <is>
          <t>1</t>
        </is>
      </c>
      <c r="D248" t="n">
        <v>1677</v>
      </c>
      <c r="E248" t="n">
        <v>1619</v>
      </c>
      <c r="F248">
        <f>D248*(1+Inputs_State!$B$2*1)</f>
        <v/>
      </c>
      <c r="G248">
        <f>E248*(1+Inputs_State!$B$2*1)</f>
        <v/>
      </c>
    </row>
    <row r="249">
      <c r="A249" t="inlineStr">
        <is>
          <t>Koochiching</t>
        </is>
      </c>
      <c r="B249">
        <f>Inputs_State!$B$1</f>
        <v/>
      </c>
      <c r="C249" t="inlineStr">
        <is>
          <t>2</t>
        </is>
      </c>
      <c r="D249" t="n">
        <v>2088</v>
      </c>
      <c r="E249" t="n">
        <v>2180</v>
      </c>
      <c r="F249">
        <f>D249*(1+Inputs_State!$B$2*2)</f>
        <v/>
      </c>
      <c r="G249">
        <f>E249*(1+Inputs_State!$B$2*2)</f>
        <v/>
      </c>
    </row>
    <row r="250">
      <c r="A250" t="inlineStr">
        <is>
          <t>Koochiching</t>
        </is>
      </c>
      <c r="B250">
        <f>Inputs_State!$B$1</f>
        <v/>
      </c>
      <c r="C250" t="inlineStr">
        <is>
          <t>3</t>
        </is>
      </c>
      <c r="D250" t="n">
        <v>2070</v>
      </c>
      <c r="E250" t="n">
        <v>2087</v>
      </c>
      <c r="F250">
        <f>D250*(1+Inputs_State!$B$2*3)</f>
        <v/>
      </c>
      <c r="G250">
        <f>E250*(1+Inputs_State!$B$2*3)</f>
        <v/>
      </c>
    </row>
    <row r="251">
      <c r="A251" t="inlineStr">
        <is>
          <t>Koochiching</t>
        </is>
      </c>
      <c r="B251">
        <f>Inputs_State!$B$1</f>
        <v/>
      </c>
      <c r="C251" t="inlineStr">
        <is>
          <t>4</t>
        </is>
      </c>
      <c r="D251" t="n">
        <v>1589</v>
      </c>
      <c r="E251" t="n">
        <v>1708</v>
      </c>
      <c r="F251">
        <f>D251*(1+Inputs_State!$B$2*4)</f>
        <v/>
      </c>
      <c r="G251">
        <f>E251*(1+Inputs_State!$B$2*4)</f>
        <v/>
      </c>
    </row>
    <row r="252">
      <c r="A252" t="inlineStr">
        <is>
          <t>Koochiching</t>
        </is>
      </c>
      <c r="B252">
        <f>Inputs_State!$B$1</f>
        <v/>
      </c>
      <c r="C252" t="inlineStr">
        <is>
          <t>5</t>
        </is>
      </c>
      <c r="D252" t="n">
        <v>1199</v>
      </c>
      <c r="E252" t="n">
        <v>1208</v>
      </c>
      <c r="F252">
        <f>D252*(1+Inputs_State!$B$2*5)</f>
        <v/>
      </c>
      <c r="G252">
        <f>E252*(1+Inputs_State!$B$2*5)</f>
        <v/>
      </c>
    </row>
    <row r="253">
      <c r="A253" t="inlineStr">
        <is>
          <t>Koochiching</t>
        </is>
      </c>
      <c r="B253">
        <f>Inputs_State!$B$1</f>
        <v/>
      </c>
      <c r="C253" t="inlineStr">
        <is>
          <t>6+</t>
        </is>
      </c>
      <c r="D253" t="n">
        <v>678</v>
      </c>
      <c r="E253" t="n">
        <v>727</v>
      </c>
      <c r="F253">
        <f>D253*(1+Inputs_State!$B$2*6)</f>
        <v/>
      </c>
      <c r="G253">
        <f>E253*(1+Inputs_State!$B$2*6)</f>
        <v/>
      </c>
    </row>
    <row r="254">
      <c r="A254" t="inlineStr">
        <is>
          <t>Lac qui Parle</t>
        </is>
      </c>
      <c r="B254">
        <f>Inputs_State!$B$1</f>
        <v/>
      </c>
      <c r="C254" t="inlineStr">
        <is>
          <t>0</t>
        </is>
      </c>
      <c r="D254" t="n">
        <v>1627</v>
      </c>
      <c r="E254" t="n">
        <v>1482</v>
      </c>
      <c r="F254">
        <f>D254*(1+Inputs_State!$B$2*0)</f>
        <v/>
      </c>
      <c r="G254">
        <f>E254*(1+Inputs_State!$B$2*0)</f>
        <v/>
      </c>
    </row>
    <row r="255">
      <c r="A255" t="inlineStr">
        <is>
          <t>Lac qui Parle</t>
        </is>
      </c>
      <c r="B255">
        <f>Inputs_State!$B$1</f>
        <v/>
      </c>
      <c r="C255" t="inlineStr">
        <is>
          <t>1</t>
        </is>
      </c>
      <c r="D255" t="n">
        <v>3241</v>
      </c>
      <c r="E255" t="n">
        <v>3005</v>
      </c>
      <c r="F255">
        <f>D255*(1+Inputs_State!$B$2*1)</f>
        <v/>
      </c>
      <c r="G255">
        <f>E255*(1+Inputs_State!$B$2*1)</f>
        <v/>
      </c>
    </row>
    <row r="256">
      <c r="A256" t="inlineStr">
        <is>
          <t>Lac qui Parle</t>
        </is>
      </c>
      <c r="B256">
        <f>Inputs_State!$B$1</f>
        <v/>
      </c>
      <c r="C256" t="inlineStr">
        <is>
          <t>2</t>
        </is>
      </c>
      <c r="D256" t="n">
        <v>4052</v>
      </c>
      <c r="E256" t="n">
        <v>3918</v>
      </c>
      <c r="F256">
        <f>D256*(1+Inputs_State!$B$2*2)</f>
        <v/>
      </c>
      <c r="G256">
        <f>E256*(1+Inputs_State!$B$2*2)</f>
        <v/>
      </c>
    </row>
    <row r="257">
      <c r="A257" t="inlineStr">
        <is>
          <t>Lac qui Parle</t>
        </is>
      </c>
      <c r="B257">
        <f>Inputs_State!$B$1</f>
        <v/>
      </c>
      <c r="C257" t="inlineStr">
        <is>
          <t>3</t>
        </is>
      </c>
      <c r="D257" t="n">
        <v>3928</v>
      </c>
      <c r="E257" t="n">
        <v>3609</v>
      </c>
      <c r="F257">
        <f>D257*(1+Inputs_State!$B$2*3)</f>
        <v/>
      </c>
      <c r="G257">
        <f>E257*(1+Inputs_State!$B$2*3)</f>
        <v/>
      </c>
    </row>
    <row r="258">
      <c r="A258" t="inlineStr">
        <is>
          <t>Lac qui Parle</t>
        </is>
      </c>
      <c r="B258">
        <f>Inputs_State!$B$1</f>
        <v/>
      </c>
      <c r="C258" t="inlineStr">
        <is>
          <t>4</t>
        </is>
      </c>
      <c r="D258" t="n">
        <v>3120</v>
      </c>
      <c r="E258" t="n">
        <v>2932</v>
      </c>
      <c r="F258">
        <f>D258*(1+Inputs_State!$B$2*4)</f>
        <v/>
      </c>
      <c r="G258">
        <f>E258*(1+Inputs_State!$B$2*4)</f>
        <v/>
      </c>
    </row>
    <row r="259">
      <c r="A259" t="inlineStr">
        <is>
          <t>Lac qui Parle</t>
        </is>
      </c>
      <c r="B259">
        <f>Inputs_State!$B$1</f>
        <v/>
      </c>
      <c r="C259" t="inlineStr">
        <is>
          <t>5</t>
        </is>
      </c>
      <c r="D259" t="n">
        <v>2340</v>
      </c>
      <c r="E259" t="n">
        <v>2202</v>
      </c>
      <c r="F259">
        <f>D259*(1+Inputs_State!$B$2*5)</f>
        <v/>
      </c>
      <c r="G259">
        <f>E259*(1+Inputs_State!$B$2*5)</f>
        <v/>
      </c>
    </row>
    <row r="260">
      <c r="A260" t="inlineStr">
        <is>
          <t>Lac qui Parle</t>
        </is>
      </c>
      <c r="B260">
        <f>Inputs_State!$B$1</f>
        <v/>
      </c>
      <c r="C260" t="inlineStr">
        <is>
          <t>6+</t>
        </is>
      </c>
      <c r="D260" t="n">
        <v>1350</v>
      </c>
      <c r="E260" t="n">
        <v>1322</v>
      </c>
      <c r="F260">
        <f>D260*(1+Inputs_State!$B$2*6)</f>
        <v/>
      </c>
      <c r="G260">
        <f>E260*(1+Inputs_State!$B$2*6)</f>
        <v/>
      </c>
    </row>
    <row r="261">
      <c r="A261" t="inlineStr">
        <is>
          <t>Lake</t>
        </is>
      </c>
      <c r="B261">
        <f>Inputs_State!$B$1</f>
        <v/>
      </c>
      <c r="C261" t="inlineStr">
        <is>
          <t>0</t>
        </is>
      </c>
      <c r="D261" t="n">
        <v>1355</v>
      </c>
      <c r="E261" t="n">
        <v>1210</v>
      </c>
      <c r="F261">
        <f>D261*(1+Inputs_State!$B$2*0)</f>
        <v/>
      </c>
      <c r="G261">
        <f>E261*(1+Inputs_State!$B$2*0)</f>
        <v/>
      </c>
    </row>
    <row r="262">
      <c r="A262" t="inlineStr">
        <is>
          <t>Lake</t>
        </is>
      </c>
      <c r="B262">
        <f>Inputs_State!$B$1</f>
        <v/>
      </c>
      <c r="C262" t="inlineStr">
        <is>
          <t>1</t>
        </is>
      </c>
      <c r="D262" t="n">
        <v>2523</v>
      </c>
      <c r="E262" t="n">
        <v>2614</v>
      </c>
      <c r="F262">
        <f>D262*(1+Inputs_State!$B$2*1)</f>
        <v/>
      </c>
      <c r="G262">
        <f>E262*(1+Inputs_State!$B$2*1)</f>
        <v/>
      </c>
    </row>
    <row r="263">
      <c r="A263" t="inlineStr">
        <is>
          <t>Lake</t>
        </is>
      </c>
      <c r="B263">
        <f>Inputs_State!$B$1</f>
        <v/>
      </c>
      <c r="C263" t="inlineStr">
        <is>
          <t>2</t>
        </is>
      </c>
      <c r="D263" t="n">
        <v>3315</v>
      </c>
      <c r="E263" t="n">
        <v>3292</v>
      </c>
      <c r="F263">
        <f>D263*(1+Inputs_State!$B$2*2)</f>
        <v/>
      </c>
      <c r="G263">
        <f>E263*(1+Inputs_State!$B$2*2)</f>
        <v/>
      </c>
    </row>
    <row r="264">
      <c r="A264" t="inlineStr">
        <is>
          <t>Lake</t>
        </is>
      </c>
      <c r="B264">
        <f>Inputs_State!$B$1</f>
        <v/>
      </c>
      <c r="C264" t="inlineStr">
        <is>
          <t>3</t>
        </is>
      </c>
      <c r="D264" t="n">
        <v>3252</v>
      </c>
      <c r="E264" t="n">
        <v>3102</v>
      </c>
      <c r="F264">
        <f>D264*(1+Inputs_State!$B$2*3)</f>
        <v/>
      </c>
      <c r="G264">
        <f>E264*(1+Inputs_State!$B$2*3)</f>
        <v/>
      </c>
    </row>
    <row r="265">
      <c r="A265" t="inlineStr">
        <is>
          <t>Lake</t>
        </is>
      </c>
      <c r="B265">
        <f>Inputs_State!$B$1</f>
        <v/>
      </c>
      <c r="C265" t="inlineStr">
        <is>
          <t>4</t>
        </is>
      </c>
      <c r="D265" t="n">
        <v>2532</v>
      </c>
      <c r="E265" t="n">
        <v>2570</v>
      </c>
      <c r="F265">
        <f>D265*(1+Inputs_State!$B$2*4)</f>
        <v/>
      </c>
      <c r="G265">
        <f>E265*(1+Inputs_State!$B$2*4)</f>
        <v/>
      </c>
    </row>
    <row r="266">
      <c r="A266" t="inlineStr">
        <is>
          <t>Lake</t>
        </is>
      </c>
      <c r="B266">
        <f>Inputs_State!$B$1</f>
        <v/>
      </c>
      <c r="C266" t="inlineStr">
        <is>
          <t>5</t>
        </is>
      </c>
      <c r="D266" t="n">
        <v>1979</v>
      </c>
      <c r="E266" t="n">
        <v>1823</v>
      </c>
      <c r="F266">
        <f>D266*(1+Inputs_State!$B$2*5)</f>
        <v/>
      </c>
      <c r="G266">
        <f>E266*(1+Inputs_State!$B$2*5)</f>
        <v/>
      </c>
    </row>
    <row r="267">
      <c r="A267" t="inlineStr">
        <is>
          <t>Lake</t>
        </is>
      </c>
      <c r="B267">
        <f>Inputs_State!$B$1</f>
        <v/>
      </c>
      <c r="C267" t="inlineStr">
        <is>
          <t>6+</t>
        </is>
      </c>
      <c r="D267" t="n">
        <v>1131</v>
      </c>
      <c r="E267" t="n">
        <v>1120</v>
      </c>
      <c r="F267">
        <f>D267*(1+Inputs_State!$B$2*6)</f>
        <v/>
      </c>
      <c r="G267">
        <f>E267*(1+Inputs_State!$B$2*6)</f>
        <v/>
      </c>
    </row>
    <row r="268">
      <c r="A268" t="inlineStr">
        <is>
          <t>Lake of the Woods</t>
        </is>
      </c>
      <c r="B268">
        <f>Inputs_State!$B$1</f>
        <v/>
      </c>
      <c r="C268" t="inlineStr">
        <is>
          <t>0</t>
        </is>
      </c>
      <c r="D268" t="n">
        <v>1045</v>
      </c>
      <c r="E268" t="n">
        <v>980</v>
      </c>
      <c r="F268">
        <f>D268*(1+Inputs_State!$B$2*0)</f>
        <v/>
      </c>
      <c r="G268">
        <f>E268*(1+Inputs_State!$B$2*0)</f>
        <v/>
      </c>
    </row>
    <row r="269">
      <c r="A269" t="inlineStr">
        <is>
          <t>Lake of the Woods</t>
        </is>
      </c>
      <c r="B269">
        <f>Inputs_State!$B$1</f>
        <v/>
      </c>
      <c r="C269" t="inlineStr">
        <is>
          <t>1</t>
        </is>
      </c>
      <c r="D269" t="n">
        <v>2044</v>
      </c>
      <c r="E269" t="n">
        <v>1987</v>
      </c>
      <c r="F269">
        <f>D269*(1+Inputs_State!$B$2*1)</f>
        <v/>
      </c>
      <c r="G269">
        <f>E269*(1+Inputs_State!$B$2*1)</f>
        <v/>
      </c>
    </row>
    <row r="270">
      <c r="A270" t="inlineStr">
        <is>
          <t>Lake of the Woods</t>
        </is>
      </c>
      <c r="B270">
        <f>Inputs_State!$B$1</f>
        <v/>
      </c>
      <c r="C270" t="inlineStr">
        <is>
          <t>2</t>
        </is>
      </c>
      <c r="D270" t="n">
        <v>2664</v>
      </c>
      <c r="E270" t="n">
        <v>2597</v>
      </c>
      <c r="F270">
        <f>D270*(1+Inputs_State!$B$2*2)</f>
        <v/>
      </c>
      <c r="G270">
        <f>E270*(1+Inputs_State!$B$2*2)</f>
        <v/>
      </c>
    </row>
    <row r="271">
      <c r="A271" t="inlineStr">
        <is>
          <t>Lake of the Woods</t>
        </is>
      </c>
      <c r="B271">
        <f>Inputs_State!$B$1</f>
        <v/>
      </c>
      <c r="C271" t="inlineStr">
        <is>
          <t>3</t>
        </is>
      </c>
      <c r="D271" t="n">
        <v>2577</v>
      </c>
      <c r="E271" t="n">
        <v>2529</v>
      </c>
      <c r="F271">
        <f>D271*(1+Inputs_State!$B$2*3)</f>
        <v/>
      </c>
      <c r="G271">
        <f>E271*(1+Inputs_State!$B$2*3)</f>
        <v/>
      </c>
    </row>
    <row r="272">
      <c r="A272" t="inlineStr">
        <is>
          <t>Lake of the Woods</t>
        </is>
      </c>
      <c r="B272">
        <f>Inputs_State!$B$1</f>
        <v/>
      </c>
      <c r="C272" t="inlineStr">
        <is>
          <t>4</t>
        </is>
      </c>
      <c r="D272" t="n">
        <v>2053</v>
      </c>
      <c r="E272" t="n">
        <v>2004</v>
      </c>
      <c r="F272">
        <f>D272*(1+Inputs_State!$B$2*4)</f>
        <v/>
      </c>
      <c r="G272">
        <f>E272*(1+Inputs_State!$B$2*4)</f>
        <v/>
      </c>
    </row>
    <row r="273">
      <c r="A273" t="inlineStr">
        <is>
          <t>Lake of the Woods</t>
        </is>
      </c>
      <c r="B273">
        <f>Inputs_State!$B$1</f>
        <v/>
      </c>
      <c r="C273" t="inlineStr">
        <is>
          <t>5</t>
        </is>
      </c>
      <c r="D273" t="n">
        <v>1511</v>
      </c>
      <c r="E273" t="n">
        <v>1460</v>
      </c>
      <c r="F273">
        <f>D273*(1+Inputs_State!$B$2*5)</f>
        <v/>
      </c>
      <c r="G273">
        <f>E273*(1+Inputs_State!$B$2*5)</f>
        <v/>
      </c>
    </row>
    <row r="274">
      <c r="A274" t="inlineStr">
        <is>
          <t>Lake of the Woods</t>
        </is>
      </c>
      <c r="B274">
        <f>Inputs_State!$B$1</f>
        <v/>
      </c>
      <c r="C274" t="inlineStr">
        <is>
          <t>6+</t>
        </is>
      </c>
      <c r="D274" t="n">
        <v>896</v>
      </c>
      <c r="E274" t="n">
        <v>876</v>
      </c>
      <c r="F274">
        <f>D274*(1+Inputs_State!$B$2*6)</f>
        <v/>
      </c>
      <c r="G274">
        <f>E274*(1+Inputs_State!$B$2*6)</f>
        <v/>
      </c>
    </row>
    <row r="275">
      <c r="A275" t="inlineStr">
        <is>
          <t>Le Sueur</t>
        </is>
      </c>
      <c r="B275">
        <f>Inputs_State!$B$1</f>
        <v/>
      </c>
      <c r="C275" t="inlineStr">
        <is>
          <t>0</t>
        </is>
      </c>
      <c r="D275" t="n">
        <v>819</v>
      </c>
      <c r="E275" t="n">
        <v>783</v>
      </c>
      <c r="F275">
        <f>D275*(1+Inputs_State!$B$2*0)</f>
        <v/>
      </c>
      <c r="G275">
        <f>E275*(1+Inputs_State!$B$2*0)</f>
        <v/>
      </c>
    </row>
    <row r="276">
      <c r="A276" t="inlineStr">
        <is>
          <t>Le Sueur</t>
        </is>
      </c>
      <c r="B276">
        <f>Inputs_State!$B$1</f>
        <v/>
      </c>
      <c r="C276" t="inlineStr">
        <is>
          <t>1</t>
        </is>
      </c>
      <c r="D276" t="n">
        <v>1571</v>
      </c>
      <c r="E276" t="n">
        <v>1653</v>
      </c>
      <c r="F276">
        <f>D276*(1+Inputs_State!$B$2*1)</f>
        <v/>
      </c>
      <c r="G276">
        <f>E276*(1+Inputs_State!$B$2*1)</f>
        <v/>
      </c>
    </row>
    <row r="277">
      <c r="A277" t="inlineStr">
        <is>
          <t>Le Sueur</t>
        </is>
      </c>
      <c r="B277">
        <f>Inputs_State!$B$1</f>
        <v/>
      </c>
      <c r="C277" t="inlineStr">
        <is>
          <t>2</t>
        </is>
      </c>
      <c r="D277" t="n">
        <v>2008</v>
      </c>
      <c r="E277" t="n">
        <v>2014</v>
      </c>
      <c r="F277">
        <f>D277*(1+Inputs_State!$B$2*2)</f>
        <v/>
      </c>
      <c r="G277">
        <f>E277*(1+Inputs_State!$B$2*2)</f>
        <v/>
      </c>
    </row>
    <row r="278">
      <c r="A278" t="inlineStr">
        <is>
          <t>Le Sueur</t>
        </is>
      </c>
      <c r="B278">
        <f>Inputs_State!$B$1</f>
        <v/>
      </c>
      <c r="C278" t="inlineStr">
        <is>
          <t>3</t>
        </is>
      </c>
      <c r="D278" t="n">
        <v>1890</v>
      </c>
      <c r="E278" t="n">
        <v>1886</v>
      </c>
      <c r="F278">
        <f>D278*(1+Inputs_State!$B$2*3)</f>
        <v/>
      </c>
      <c r="G278">
        <f>E278*(1+Inputs_State!$B$2*3)</f>
        <v/>
      </c>
    </row>
    <row r="279">
      <c r="A279" t="inlineStr">
        <is>
          <t>Le Sueur</t>
        </is>
      </c>
      <c r="B279">
        <f>Inputs_State!$B$1</f>
        <v/>
      </c>
      <c r="C279" t="inlineStr">
        <is>
          <t>4</t>
        </is>
      </c>
      <c r="D279" t="n">
        <v>1506</v>
      </c>
      <c r="E279" t="n">
        <v>1538</v>
      </c>
      <c r="F279">
        <f>D279*(1+Inputs_State!$B$2*4)</f>
        <v/>
      </c>
      <c r="G279">
        <f>E279*(1+Inputs_State!$B$2*4)</f>
        <v/>
      </c>
    </row>
    <row r="280">
      <c r="A280" t="inlineStr">
        <is>
          <t>Le Sueur</t>
        </is>
      </c>
      <c r="B280">
        <f>Inputs_State!$B$1</f>
        <v/>
      </c>
      <c r="C280" t="inlineStr">
        <is>
          <t>5</t>
        </is>
      </c>
      <c r="D280" t="n">
        <v>1137</v>
      </c>
      <c r="E280" t="n">
        <v>1211</v>
      </c>
      <c r="F280">
        <f>D280*(1+Inputs_State!$B$2*5)</f>
        <v/>
      </c>
      <c r="G280">
        <f>E280*(1+Inputs_State!$B$2*5)</f>
        <v/>
      </c>
    </row>
    <row r="281">
      <c r="A281" t="inlineStr">
        <is>
          <t>Le Sueur</t>
        </is>
      </c>
      <c r="B281">
        <f>Inputs_State!$B$1</f>
        <v/>
      </c>
      <c r="C281" t="inlineStr">
        <is>
          <t>6+</t>
        </is>
      </c>
      <c r="D281" t="n">
        <v>636</v>
      </c>
      <c r="E281" t="n">
        <v>686</v>
      </c>
      <c r="F281">
        <f>D281*(1+Inputs_State!$B$2*6)</f>
        <v/>
      </c>
      <c r="G281">
        <f>E281*(1+Inputs_State!$B$2*6)</f>
        <v/>
      </c>
    </row>
    <row r="282">
      <c r="A282" t="inlineStr">
        <is>
          <t>Lincoln</t>
        </is>
      </c>
      <c r="B282">
        <f>Inputs_State!$B$1</f>
        <v/>
      </c>
      <c r="C282" t="inlineStr">
        <is>
          <t>0</t>
        </is>
      </c>
      <c r="D282" t="n">
        <v>964</v>
      </c>
      <c r="E282" t="n">
        <v>1005</v>
      </c>
      <c r="F282">
        <f>D282*(1+Inputs_State!$B$2*0)</f>
        <v/>
      </c>
      <c r="G282">
        <f>E282*(1+Inputs_State!$B$2*0)</f>
        <v/>
      </c>
    </row>
    <row r="283">
      <c r="A283" t="inlineStr">
        <is>
          <t>Lincoln</t>
        </is>
      </c>
      <c r="B283">
        <f>Inputs_State!$B$1</f>
        <v/>
      </c>
      <c r="C283" t="inlineStr">
        <is>
          <t>1</t>
        </is>
      </c>
      <c r="D283" t="n">
        <v>2050</v>
      </c>
      <c r="E283" t="n">
        <v>2114</v>
      </c>
      <c r="F283">
        <f>D283*(1+Inputs_State!$B$2*1)</f>
        <v/>
      </c>
      <c r="G283">
        <f>E283*(1+Inputs_State!$B$2*1)</f>
        <v/>
      </c>
    </row>
    <row r="284">
      <c r="A284" t="inlineStr">
        <is>
          <t>Lincoln</t>
        </is>
      </c>
      <c r="B284">
        <f>Inputs_State!$B$1</f>
        <v/>
      </c>
      <c r="C284" t="inlineStr">
        <is>
          <t>2</t>
        </is>
      </c>
      <c r="D284" t="n">
        <v>2690</v>
      </c>
      <c r="E284" t="n">
        <v>2881</v>
      </c>
      <c r="F284">
        <f>D284*(1+Inputs_State!$B$2*2)</f>
        <v/>
      </c>
      <c r="G284">
        <f>E284*(1+Inputs_State!$B$2*2)</f>
        <v/>
      </c>
    </row>
    <row r="285">
      <c r="A285" t="inlineStr">
        <is>
          <t>Lincoln</t>
        </is>
      </c>
      <c r="B285">
        <f>Inputs_State!$B$1</f>
        <v/>
      </c>
      <c r="C285" t="inlineStr">
        <is>
          <t>3</t>
        </is>
      </c>
      <c r="D285" t="n">
        <v>2497</v>
      </c>
      <c r="E285" t="n">
        <v>2618</v>
      </c>
      <c r="F285">
        <f>D285*(1+Inputs_State!$B$2*3)</f>
        <v/>
      </c>
      <c r="G285">
        <f>E285*(1+Inputs_State!$B$2*3)</f>
        <v/>
      </c>
    </row>
    <row r="286">
      <c r="A286" t="inlineStr">
        <is>
          <t>Lincoln</t>
        </is>
      </c>
      <c r="B286">
        <f>Inputs_State!$B$1</f>
        <v/>
      </c>
      <c r="C286" t="inlineStr">
        <is>
          <t>4</t>
        </is>
      </c>
      <c r="D286" t="n">
        <v>2046</v>
      </c>
      <c r="E286" t="n">
        <v>2112</v>
      </c>
      <c r="F286">
        <f>D286*(1+Inputs_State!$B$2*4)</f>
        <v/>
      </c>
      <c r="G286">
        <f>E286*(1+Inputs_State!$B$2*4)</f>
        <v/>
      </c>
    </row>
    <row r="287">
      <c r="A287" t="inlineStr">
        <is>
          <t>Lincoln</t>
        </is>
      </c>
      <c r="B287">
        <f>Inputs_State!$B$1</f>
        <v/>
      </c>
      <c r="C287" t="inlineStr">
        <is>
          <t>5</t>
        </is>
      </c>
      <c r="D287" t="n">
        <v>1558</v>
      </c>
      <c r="E287" t="n">
        <v>1595</v>
      </c>
      <c r="F287">
        <f>D287*(1+Inputs_State!$B$2*5)</f>
        <v/>
      </c>
      <c r="G287">
        <f>E287*(1+Inputs_State!$B$2*5)</f>
        <v/>
      </c>
    </row>
    <row r="288">
      <c r="A288" t="inlineStr">
        <is>
          <t>Lincoln</t>
        </is>
      </c>
      <c r="B288">
        <f>Inputs_State!$B$1</f>
        <v/>
      </c>
      <c r="C288" t="inlineStr">
        <is>
          <t>6+</t>
        </is>
      </c>
      <c r="D288" t="n">
        <v>834</v>
      </c>
      <c r="E288" t="n">
        <v>950</v>
      </c>
      <c r="F288">
        <f>D288*(1+Inputs_State!$B$2*6)</f>
        <v/>
      </c>
      <c r="G288">
        <f>E288*(1+Inputs_State!$B$2*6)</f>
        <v/>
      </c>
    </row>
    <row r="289">
      <c r="A289" t="inlineStr">
        <is>
          <t>Lyon</t>
        </is>
      </c>
      <c r="B289">
        <f>Inputs_State!$B$1</f>
        <v/>
      </c>
      <c r="C289" t="inlineStr">
        <is>
          <t>0</t>
        </is>
      </c>
      <c r="D289" t="n">
        <v>917</v>
      </c>
      <c r="E289" t="n">
        <v>849</v>
      </c>
      <c r="F289">
        <f>D289*(1+Inputs_State!$B$2*0)</f>
        <v/>
      </c>
      <c r="G289">
        <f>E289*(1+Inputs_State!$B$2*0)</f>
        <v/>
      </c>
    </row>
    <row r="290">
      <c r="A290" t="inlineStr">
        <is>
          <t>Lyon</t>
        </is>
      </c>
      <c r="B290">
        <f>Inputs_State!$B$1</f>
        <v/>
      </c>
      <c r="C290" t="inlineStr">
        <is>
          <t>1</t>
        </is>
      </c>
      <c r="D290" t="n">
        <v>1888</v>
      </c>
      <c r="E290" t="n">
        <v>1778</v>
      </c>
      <c r="F290">
        <f>D290*(1+Inputs_State!$B$2*1)</f>
        <v/>
      </c>
      <c r="G290">
        <f>E290*(1+Inputs_State!$B$2*1)</f>
        <v/>
      </c>
    </row>
    <row r="291">
      <c r="A291" t="inlineStr">
        <is>
          <t>Lyon</t>
        </is>
      </c>
      <c r="B291">
        <f>Inputs_State!$B$1</f>
        <v/>
      </c>
      <c r="C291" t="inlineStr">
        <is>
          <t>2</t>
        </is>
      </c>
      <c r="D291" t="n">
        <v>2485</v>
      </c>
      <c r="E291" t="n">
        <v>2232</v>
      </c>
      <c r="F291">
        <f>D291*(1+Inputs_State!$B$2*2)</f>
        <v/>
      </c>
      <c r="G291">
        <f>E291*(1+Inputs_State!$B$2*2)</f>
        <v/>
      </c>
    </row>
    <row r="292">
      <c r="A292" t="inlineStr">
        <is>
          <t>Lyon</t>
        </is>
      </c>
      <c r="B292">
        <f>Inputs_State!$B$1</f>
        <v/>
      </c>
      <c r="C292" t="inlineStr">
        <is>
          <t>3</t>
        </is>
      </c>
      <c r="D292" t="n">
        <v>2344</v>
      </c>
      <c r="E292" t="n">
        <v>2104</v>
      </c>
      <c r="F292">
        <f>D292*(1+Inputs_State!$B$2*3)</f>
        <v/>
      </c>
      <c r="G292">
        <f>E292*(1+Inputs_State!$B$2*3)</f>
        <v/>
      </c>
    </row>
    <row r="293">
      <c r="A293" t="inlineStr">
        <is>
          <t>Lyon</t>
        </is>
      </c>
      <c r="B293">
        <f>Inputs_State!$B$1</f>
        <v/>
      </c>
      <c r="C293" t="inlineStr">
        <is>
          <t>4</t>
        </is>
      </c>
      <c r="D293" t="n">
        <v>1821</v>
      </c>
      <c r="E293" t="n">
        <v>1726</v>
      </c>
      <c r="F293">
        <f>D293*(1+Inputs_State!$B$2*4)</f>
        <v/>
      </c>
      <c r="G293">
        <f>E293*(1+Inputs_State!$B$2*4)</f>
        <v/>
      </c>
    </row>
    <row r="294">
      <c r="A294" t="inlineStr">
        <is>
          <t>Lyon</t>
        </is>
      </c>
      <c r="B294">
        <f>Inputs_State!$B$1</f>
        <v/>
      </c>
      <c r="C294" t="inlineStr">
        <is>
          <t>5</t>
        </is>
      </c>
      <c r="D294" t="n">
        <v>1412</v>
      </c>
      <c r="E294" t="n">
        <v>1285</v>
      </c>
      <c r="F294">
        <f>D294*(1+Inputs_State!$B$2*5)</f>
        <v/>
      </c>
      <c r="G294">
        <f>E294*(1+Inputs_State!$B$2*5)</f>
        <v/>
      </c>
    </row>
    <row r="295">
      <c r="A295" t="inlineStr">
        <is>
          <t>Lyon</t>
        </is>
      </c>
      <c r="B295">
        <f>Inputs_State!$B$1</f>
        <v/>
      </c>
      <c r="C295" t="inlineStr">
        <is>
          <t>6+</t>
        </is>
      </c>
      <c r="D295" t="n">
        <v>849</v>
      </c>
      <c r="E295" t="n">
        <v>714</v>
      </c>
      <c r="F295">
        <f>D295*(1+Inputs_State!$B$2*6)</f>
        <v/>
      </c>
      <c r="G295">
        <f>E295*(1+Inputs_State!$B$2*6)</f>
        <v/>
      </c>
    </row>
    <row r="296">
      <c r="A296" t="inlineStr">
        <is>
          <t>McLeod</t>
        </is>
      </c>
      <c r="B296">
        <f>Inputs_State!$B$1</f>
        <v/>
      </c>
      <c r="C296" t="inlineStr">
        <is>
          <t>0</t>
        </is>
      </c>
      <c r="D296" t="n">
        <v>761</v>
      </c>
      <c r="E296" t="n">
        <v>749</v>
      </c>
      <c r="F296">
        <f>D296*(1+Inputs_State!$B$2*0)</f>
        <v/>
      </c>
      <c r="G296">
        <f>E296*(1+Inputs_State!$B$2*0)</f>
        <v/>
      </c>
    </row>
    <row r="297">
      <c r="A297" t="inlineStr">
        <is>
          <t>McLeod</t>
        </is>
      </c>
      <c r="B297">
        <f>Inputs_State!$B$1</f>
        <v/>
      </c>
      <c r="C297" t="inlineStr">
        <is>
          <t>1</t>
        </is>
      </c>
      <c r="D297" t="n">
        <v>1475</v>
      </c>
      <c r="E297" t="n">
        <v>1483</v>
      </c>
      <c r="F297">
        <f>D297*(1+Inputs_State!$B$2*1)</f>
        <v/>
      </c>
      <c r="G297">
        <f>E297*(1+Inputs_State!$B$2*1)</f>
        <v/>
      </c>
    </row>
    <row r="298">
      <c r="A298" t="inlineStr">
        <is>
          <t>McLeod</t>
        </is>
      </c>
      <c r="B298">
        <f>Inputs_State!$B$1</f>
        <v/>
      </c>
      <c r="C298" t="inlineStr">
        <is>
          <t>2</t>
        </is>
      </c>
      <c r="D298" t="n">
        <v>1850</v>
      </c>
      <c r="E298" t="n">
        <v>1932</v>
      </c>
      <c r="F298">
        <f>D298*(1+Inputs_State!$B$2*2)</f>
        <v/>
      </c>
      <c r="G298">
        <f>E298*(1+Inputs_State!$B$2*2)</f>
        <v/>
      </c>
    </row>
    <row r="299">
      <c r="A299" t="inlineStr">
        <is>
          <t>McLeod</t>
        </is>
      </c>
      <c r="B299">
        <f>Inputs_State!$B$1</f>
        <v/>
      </c>
      <c r="C299" t="inlineStr">
        <is>
          <t>3</t>
        </is>
      </c>
      <c r="D299" t="n">
        <v>1736</v>
      </c>
      <c r="E299" t="n">
        <v>1894</v>
      </c>
      <c r="F299">
        <f>D299*(1+Inputs_State!$B$2*3)</f>
        <v/>
      </c>
      <c r="G299">
        <f>E299*(1+Inputs_State!$B$2*3)</f>
        <v/>
      </c>
    </row>
    <row r="300">
      <c r="A300" t="inlineStr">
        <is>
          <t>McLeod</t>
        </is>
      </c>
      <c r="B300">
        <f>Inputs_State!$B$1</f>
        <v/>
      </c>
      <c r="C300" t="inlineStr">
        <is>
          <t>4</t>
        </is>
      </c>
      <c r="D300" t="n">
        <v>1497</v>
      </c>
      <c r="E300" t="n">
        <v>1510</v>
      </c>
      <c r="F300">
        <f>D300*(1+Inputs_State!$B$2*4)</f>
        <v/>
      </c>
      <c r="G300">
        <f>E300*(1+Inputs_State!$B$2*4)</f>
        <v/>
      </c>
    </row>
    <row r="301">
      <c r="A301" t="inlineStr">
        <is>
          <t>McLeod</t>
        </is>
      </c>
      <c r="B301">
        <f>Inputs_State!$B$1</f>
        <v/>
      </c>
      <c r="C301" t="inlineStr">
        <is>
          <t>5</t>
        </is>
      </c>
      <c r="D301" t="n">
        <v>1162</v>
      </c>
      <c r="E301" t="n">
        <v>1161</v>
      </c>
      <c r="F301">
        <f>D301*(1+Inputs_State!$B$2*5)</f>
        <v/>
      </c>
      <c r="G301">
        <f>E301*(1+Inputs_State!$B$2*5)</f>
        <v/>
      </c>
    </row>
    <row r="302">
      <c r="A302" t="inlineStr">
        <is>
          <t>McLeod</t>
        </is>
      </c>
      <c r="B302">
        <f>Inputs_State!$B$1</f>
        <v/>
      </c>
      <c r="C302" t="inlineStr">
        <is>
          <t>6+</t>
        </is>
      </c>
      <c r="D302" t="n">
        <v>625</v>
      </c>
      <c r="E302" t="n">
        <v>669</v>
      </c>
      <c r="F302">
        <f>D302*(1+Inputs_State!$B$2*6)</f>
        <v/>
      </c>
      <c r="G302">
        <f>E302*(1+Inputs_State!$B$2*6)</f>
        <v/>
      </c>
    </row>
    <row r="303">
      <c r="A303" t="inlineStr">
        <is>
          <t>Mahnomen</t>
        </is>
      </c>
      <c r="B303">
        <f>Inputs_State!$B$1</f>
        <v/>
      </c>
      <c r="C303" t="inlineStr">
        <is>
          <t>0</t>
        </is>
      </c>
      <c r="D303" t="n">
        <v>1019</v>
      </c>
      <c r="E303" t="n">
        <v>1043</v>
      </c>
      <c r="F303">
        <f>D303*(1+Inputs_State!$B$2*0)</f>
        <v/>
      </c>
      <c r="G303">
        <f>E303*(1+Inputs_State!$B$2*0)</f>
        <v/>
      </c>
    </row>
    <row r="304">
      <c r="A304" t="inlineStr">
        <is>
          <t>Mahnomen</t>
        </is>
      </c>
      <c r="B304">
        <f>Inputs_State!$B$1</f>
        <v/>
      </c>
      <c r="C304" t="inlineStr">
        <is>
          <t>1</t>
        </is>
      </c>
      <c r="D304" t="n">
        <v>2075</v>
      </c>
      <c r="E304" t="n">
        <v>1945</v>
      </c>
      <c r="F304">
        <f>D304*(1+Inputs_State!$B$2*1)</f>
        <v/>
      </c>
      <c r="G304">
        <f>E304*(1+Inputs_State!$B$2*1)</f>
        <v/>
      </c>
    </row>
    <row r="305">
      <c r="A305" t="inlineStr">
        <is>
          <t>Mahnomen</t>
        </is>
      </c>
      <c r="B305">
        <f>Inputs_State!$B$1</f>
        <v/>
      </c>
      <c r="C305" t="inlineStr">
        <is>
          <t>2</t>
        </is>
      </c>
      <c r="D305" t="n">
        <v>2811</v>
      </c>
      <c r="E305" t="n">
        <v>2547</v>
      </c>
      <c r="F305">
        <f>D305*(1+Inputs_State!$B$2*2)</f>
        <v/>
      </c>
      <c r="G305">
        <f>E305*(1+Inputs_State!$B$2*2)</f>
        <v/>
      </c>
    </row>
    <row r="306">
      <c r="A306" t="inlineStr">
        <is>
          <t>Mahnomen</t>
        </is>
      </c>
      <c r="B306">
        <f>Inputs_State!$B$1</f>
        <v/>
      </c>
      <c r="C306" t="inlineStr">
        <is>
          <t>3</t>
        </is>
      </c>
      <c r="D306" t="n">
        <v>2705</v>
      </c>
      <c r="E306" t="n">
        <v>2472</v>
      </c>
      <c r="F306">
        <f>D306*(1+Inputs_State!$B$2*3)</f>
        <v/>
      </c>
      <c r="G306">
        <f>E306*(1+Inputs_State!$B$2*3)</f>
        <v/>
      </c>
    </row>
    <row r="307">
      <c r="A307" t="inlineStr">
        <is>
          <t>Mahnomen</t>
        </is>
      </c>
      <c r="B307">
        <f>Inputs_State!$B$1</f>
        <v/>
      </c>
      <c r="C307" t="inlineStr">
        <is>
          <t>4</t>
        </is>
      </c>
      <c r="D307" t="n">
        <v>2211</v>
      </c>
      <c r="E307" t="n">
        <v>1938</v>
      </c>
      <c r="F307">
        <f>D307*(1+Inputs_State!$B$2*4)</f>
        <v/>
      </c>
      <c r="G307">
        <f>E307*(1+Inputs_State!$B$2*4)</f>
        <v/>
      </c>
    </row>
    <row r="308">
      <c r="A308" t="inlineStr">
        <is>
          <t>Mahnomen</t>
        </is>
      </c>
      <c r="B308">
        <f>Inputs_State!$B$1</f>
        <v/>
      </c>
      <c r="C308" t="inlineStr">
        <is>
          <t>5</t>
        </is>
      </c>
      <c r="D308" t="n">
        <v>1642</v>
      </c>
      <c r="E308" t="n">
        <v>1482</v>
      </c>
      <c r="F308">
        <f>D308*(1+Inputs_State!$B$2*5)</f>
        <v/>
      </c>
      <c r="G308">
        <f>E308*(1+Inputs_State!$B$2*5)</f>
        <v/>
      </c>
    </row>
    <row r="309">
      <c r="A309" t="inlineStr">
        <is>
          <t>Mahnomen</t>
        </is>
      </c>
      <c r="B309">
        <f>Inputs_State!$B$1</f>
        <v/>
      </c>
      <c r="C309" t="inlineStr">
        <is>
          <t>6+</t>
        </is>
      </c>
      <c r="D309" t="n">
        <v>908</v>
      </c>
      <c r="E309" t="n">
        <v>943</v>
      </c>
      <c r="F309">
        <f>D309*(1+Inputs_State!$B$2*6)</f>
        <v/>
      </c>
      <c r="G309">
        <f>E309*(1+Inputs_State!$B$2*6)</f>
        <v/>
      </c>
    </row>
    <row r="310">
      <c r="A310" t="inlineStr">
        <is>
          <t>Marshall</t>
        </is>
      </c>
      <c r="B310">
        <f>Inputs_State!$B$1</f>
        <v/>
      </c>
      <c r="C310" t="inlineStr">
        <is>
          <t>0</t>
        </is>
      </c>
      <c r="D310" t="n">
        <v>1874</v>
      </c>
      <c r="E310" t="n">
        <v>1886</v>
      </c>
      <c r="F310">
        <f>D310*(1+Inputs_State!$B$2*0)</f>
        <v/>
      </c>
      <c r="G310">
        <f>E310*(1+Inputs_State!$B$2*0)</f>
        <v/>
      </c>
    </row>
    <row r="311">
      <c r="A311" t="inlineStr">
        <is>
          <t>Marshall</t>
        </is>
      </c>
      <c r="B311">
        <f>Inputs_State!$B$1</f>
        <v/>
      </c>
      <c r="C311" t="inlineStr">
        <is>
          <t>1</t>
        </is>
      </c>
      <c r="D311" t="n">
        <v>3806</v>
      </c>
      <c r="E311" t="n">
        <v>3680</v>
      </c>
      <c r="F311">
        <f>D311*(1+Inputs_State!$B$2*1)</f>
        <v/>
      </c>
      <c r="G311">
        <f>E311*(1+Inputs_State!$B$2*1)</f>
        <v/>
      </c>
    </row>
    <row r="312">
      <c r="A312" t="inlineStr">
        <is>
          <t>Marshall</t>
        </is>
      </c>
      <c r="B312">
        <f>Inputs_State!$B$1</f>
        <v/>
      </c>
      <c r="C312" t="inlineStr">
        <is>
          <t>2</t>
        </is>
      </c>
      <c r="D312" t="n">
        <v>5043</v>
      </c>
      <c r="E312" t="n">
        <v>5028</v>
      </c>
      <c r="F312">
        <f>D312*(1+Inputs_State!$B$2*2)</f>
        <v/>
      </c>
      <c r="G312">
        <f>E312*(1+Inputs_State!$B$2*2)</f>
        <v/>
      </c>
    </row>
    <row r="313">
      <c r="A313" t="inlineStr">
        <is>
          <t>Marshall</t>
        </is>
      </c>
      <c r="B313">
        <f>Inputs_State!$B$1</f>
        <v/>
      </c>
      <c r="C313" t="inlineStr">
        <is>
          <t>3</t>
        </is>
      </c>
      <c r="D313" t="n">
        <v>4901</v>
      </c>
      <c r="E313" t="n">
        <v>4604</v>
      </c>
      <c r="F313">
        <f>D313*(1+Inputs_State!$B$2*3)</f>
        <v/>
      </c>
      <c r="G313">
        <f>E313*(1+Inputs_State!$B$2*3)</f>
        <v/>
      </c>
    </row>
    <row r="314">
      <c r="A314" t="inlineStr">
        <is>
          <t>Marshall</t>
        </is>
      </c>
      <c r="B314">
        <f>Inputs_State!$B$1</f>
        <v/>
      </c>
      <c r="C314" t="inlineStr">
        <is>
          <t>4</t>
        </is>
      </c>
      <c r="D314" t="n">
        <v>3784</v>
      </c>
      <c r="E314" t="n">
        <v>3824</v>
      </c>
      <c r="F314">
        <f>D314*(1+Inputs_State!$B$2*4)</f>
        <v/>
      </c>
      <c r="G314">
        <f>E314*(1+Inputs_State!$B$2*4)</f>
        <v/>
      </c>
    </row>
    <row r="315">
      <c r="A315" t="inlineStr">
        <is>
          <t>Marshall</t>
        </is>
      </c>
      <c r="B315">
        <f>Inputs_State!$B$1</f>
        <v/>
      </c>
      <c r="C315" t="inlineStr">
        <is>
          <t>5</t>
        </is>
      </c>
      <c r="D315" t="n">
        <v>2766</v>
      </c>
      <c r="E315" t="n">
        <v>2722</v>
      </c>
      <c r="F315">
        <f>D315*(1+Inputs_State!$B$2*5)</f>
        <v/>
      </c>
      <c r="G315">
        <f>E315*(1+Inputs_State!$B$2*5)</f>
        <v/>
      </c>
    </row>
    <row r="316">
      <c r="A316" t="inlineStr">
        <is>
          <t>Marshall</t>
        </is>
      </c>
      <c r="B316">
        <f>Inputs_State!$B$1</f>
        <v/>
      </c>
      <c r="C316" t="inlineStr">
        <is>
          <t>6+</t>
        </is>
      </c>
      <c r="D316" t="n">
        <v>1640</v>
      </c>
      <c r="E316" t="n">
        <v>1693</v>
      </c>
      <c r="F316">
        <f>D316*(1+Inputs_State!$B$2*6)</f>
        <v/>
      </c>
      <c r="G316">
        <f>E316*(1+Inputs_State!$B$2*6)</f>
        <v/>
      </c>
    </row>
    <row r="317">
      <c r="A317" t="inlineStr">
        <is>
          <t>Martin</t>
        </is>
      </c>
      <c r="B317">
        <f>Inputs_State!$B$1</f>
        <v/>
      </c>
      <c r="C317" t="inlineStr">
        <is>
          <t>0</t>
        </is>
      </c>
      <c r="D317" t="n">
        <v>1595</v>
      </c>
      <c r="E317" t="n">
        <v>1538</v>
      </c>
      <c r="F317">
        <f>D317*(1+Inputs_State!$B$2*0)</f>
        <v/>
      </c>
      <c r="G317">
        <f>E317*(1+Inputs_State!$B$2*0)</f>
        <v/>
      </c>
    </row>
    <row r="318">
      <c r="A318" t="inlineStr">
        <is>
          <t>Martin</t>
        </is>
      </c>
      <c r="B318">
        <f>Inputs_State!$B$1</f>
        <v/>
      </c>
      <c r="C318" t="inlineStr">
        <is>
          <t>1</t>
        </is>
      </c>
      <c r="D318" t="n">
        <v>3229</v>
      </c>
      <c r="E318" t="n">
        <v>3006</v>
      </c>
      <c r="F318">
        <f>D318*(1+Inputs_State!$B$2*1)</f>
        <v/>
      </c>
      <c r="G318">
        <f>E318*(1+Inputs_State!$B$2*1)</f>
        <v/>
      </c>
    </row>
    <row r="319">
      <c r="A319" t="inlineStr">
        <is>
          <t>Martin</t>
        </is>
      </c>
      <c r="B319">
        <f>Inputs_State!$B$1</f>
        <v/>
      </c>
      <c r="C319" t="inlineStr">
        <is>
          <t>2</t>
        </is>
      </c>
      <c r="D319" t="n">
        <v>4310</v>
      </c>
      <c r="E319" t="n">
        <v>3937</v>
      </c>
      <c r="F319">
        <f>D319*(1+Inputs_State!$B$2*2)</f>
        <v/>
      </c>
      <c r="G319">
        <f>E319*(1+Inputs_State!$B$2*2)</f>
        <v/>
      </c>
    </row>
    <row r="320">
      <c r="A320" t="inlineStr">
        <is>
          <t>Martin</t>
        </is>
      </c>
      <c r="B320">
        <f>Inputs_State!$B$1</f>
        <v/>
      </c>
      <c r="C320" t="inlineStr">
        <is>
          <t>3</t>
        </is>
      </c>
      <c r="D320" t="n">
        <v>4106</v>
      </c>
      <c r="E320" t="n">
        <v>3731</v>
      </c>
      <c r="F320">
        <f>D320*(1+Inputs_State!$B$2*3)</f>
        <v/>
      </c>
      <c r="G320">
        <f>E320*(1+Inputs_State!$B$2*3)</f>
        <v/>
      </c>
    </row>
    <row r="321">
      <c r="A321" t="inlineStr">
        <is>
          <t>Martin</t>
        </is>
      </c>
      <c r="B321">
        <f>Inputs_State!$B$1</f>
        <v/>
      </c>
      <c r="C321" t="inlineStr">
        <is>
          <t>4</t>
        </is>
      </c>
      <c r="D321" t="n">
        <v>3296</v>
      </c>
      <c r="E321" t="n">
        <v>3023</v>
      </c>
      <c r="F321">
        <f>D321*(1+Inputs_State!$B$2*4)</f>
        <v/>
      </c>
      <c r="G321">
        <f>E321*(1+Inputs_State!$B$2*4)</f>
        <v/>
      </c>
    </row>
    <row r="322">
      <c r="A322" t="inlineStr">
        <is>
          <t>Martin</t>
        </is>
      </c>
      <c r="B322">
        <f>Inputs_State!$B$1</f>
        <v/>
      </c>
      <c r="C322" t="inlineStr">
        <is>
          <t>5</t>
        </is>
      </c>
      <c r="D322" t="n">
        <v>2434</v>
      </c>
      <c r="E322" t="n">
        <v>2223</v>
      </c>
      <c r="F322">
        <f>D322*(1+Inputs_State!$B$2*5)</f>
        <v/>
      </c>
      <c r="G322">
        <f>E322*(1+Inputs_State!$B$2*5)</f>
        <v/>
      </c>
    </row>
    <row r="323">
      <c r="A323" t="inlineStr">
        <is>
          <t>Martin</t>
        </is>
      </c>
      <c r="B323">
        <f>Inputs_State!$B$1</f>
        <v/>
      </c>
      <c r="C323" t="inlineStr">
        <is>
          <t>6+</t>
        </is>
      </c>
      <c r="D323" t="n">
        <v>1472</v>
      </c>
      <c r="E323" t="n">
        <v>1276</v>
      </c>
      <c r="F323">
        <f>D323*(1+Inputs_State!$B$2*6)</f>
        <v/>
      </c>
      <c r="G323">
        <f>E323*(1+Inputs_State!$B$2*6)</f>
        <v/>
      </c>
    </row>
    <row r="324">
      <c r="A324" t="inlineStr">
        <is>
          <t>Meeker</t>
        </is>
      </c>
      <c r="B324">
        <f>Inputs_State!$B$1</f>
        <v/>
      </c>
      <c r="C324" t="inlineStr">
        <is>
          <t>0</t>
        </is>
      </c>
      <c r="D324" t="n">
        <v>908</v>
      </c>
      <c r="E324" t="n">
        <v>862</v>
      </c>
      <c r="F324">
        <f>D324*(1+Inputs_State!$B$2*0)</f>
        <v/>
      </c>
      <c r="G324">
        <f>E324*(1+Inputs_State!$B$2*0)</f>
        <v/>
      </c>
    </row>
    <row r="325">
      <c r="A325" t="inlineStr">
        <is>
          <t>Meeker</t>
        </is>
      </c>
      <c r="B325">
        <f>Inputs_State!$B$1</f>
        <v/>
      </c>
      <c r="C325" t="inlineStr">
        <is>
          <t>1</t>
        </is>
      </c>
      <c r="D325" t="n">
        <v>1715</v>
      </c>
      <c r="E325" t="n">
        <v>1665</v>
      </c>
      <c r="F325">
        <f>D325*(1+Inputs_State!$B$2*1)</f>
        <v/>
      </c>
      <c r="G325">
        <f>E325*(1+Inputs_State!$B$2*1)</f>
        <v/>
      </c>
    </row>
    <row r="326">
      <c r="A326" t="inlineStr">
        <is>
          <t>Meeker</t>
        </is>
      </c>
      <c r="B326">
        <f>Inputs_State!$B$1</f>
        <v/>
      </c>
      <c r="C326" t="inlineStr">
        <is>
          <t>2</t>
        </is>
      </c>
      <c r="D326" t="n">
        <v>2241</v>
      </c>
      <c r="E326" t="n">
        <v>2304</v>
      </c>
      <c r="F326">
        <f>D326*(1+Inputs_State!$B$2*2)</f>
        <v/>
      </c>
      <c r="G326">
        <f>E326*(1+Inputs_State!$B$2*2)</f>
        <v/>
      </c>
    </row>
    <row r="327">
      <c r="A327" t="inlineStr">
        <is>
          <t>Meeker</t>
        </is>
      </c>
      <c r="B327">
        <f>Inputs_State!$B$1</f>
        <v/>
      </c>
      <c r="C327" t="inlineStr">
        <is>
          <t>3</t>
        </is>
      </c>
      <c r="D327" t="n">
        <v>2158</v>
      </c>
      <c r="E327" t="n">
        <v>2083</v>
      </c>
      <c r="F327">
        <f>D327*(1+Inputs_State!$B$2*3)</f>
        <v/>
      </c>
      <c r="G327">
        <f>E327*(1+Inputs_State!$B$2*3)</f>
        <v/>
      </c>
    </row>
    <row r="328">
      <c r="A328" t="inlineStr">
        <is>
          <t>Meeker</t>
        </is>
      </c>
      <c r="B328">
        <f>Inputs_State!$B$1</f>
        <v/>
      </c>
      <c r="C328" t="inlineStr">
        <is>
          <t>4</t>
        </is>
      </c>
      <c r="D328" t="n">
        <v>1757</v>
      </c>
      <c r="E328" t="n">
        <v>1711</v>
      </c>
      <c r="F328">
        <f>D328*(1+Inputs_State!$B$2*4)</f>
        <v/>
      </c>
      <c r="G328">
        <f>E328*(1+Inputs_State!$B$2*4)</f>
        <v/>
      </c>
    </row>
    <row r="329">
      <c r="A329" t="inlineStr">
        <is>
          <t>Meeker</t>
        </is>
      </c>
      <c r="B329">
        <f>Inputs_State!$B$1</f>
        <v/>
      </c>
      <c r="C329" t="inlineStr">
        <is>
          <t>5</t>
        </is>
      </c>
      <c r="D329" t="n">
        <v>1277</v>
      </c>
      <c r="E329" t="n">
        <v>1304</v>
      </c>
      <c r="F329">
        <f>D329*(1+Inputs_State!$B$2*5)</f>
        <v/>
      </c>
      <c r="G329">
        <f>E329*(1+Inputs_State!$B$2*5)</f>
        <v/>
      </c>
    </row>
    <row r="330">
      <c r="A330" t="inlineStr">
        <is>
          <t>Meeker</t>
        </is>
      </c>
      <c r="B330">
        <f>Inputs_State!$B$1</f>
        <v/>
      </c>
      <c r="C330" t="inlineStr">
        <is>
          <t>6+</t>
        </is>
      </c>
      <c r="D330" t="n">
        <v>752</v>
      </c>
      <c r="E330" t="n">
        <v>771</v>
      </c>
      <c r="F330">
        <f>D330*(1+Inputs_State!$B$2*6)</f>
        <v/>
      </c>
      <c r="G330">
        <f>E330*(1+Inputs_State!$B$2*6)</f>
        <v/>
      </c>
    </row>
    <row r="331">
      <c r="A331" t="inlineStr">
        <is>
          <t>Mille Lacs</t>
        </is>
      </c>
      <c r="B331">
        <f>Inputs_State!$B$1</f>
        <v/>
      </c>
      <c r="C331" t="inlineStr">
        <is>
          <t>0</t>
        </is>
      </c>
      <c r="D331" t="n">
        <v>1618</v>
      </c>
      <c r="E331" t="n">
        <v>1643</v>
      </c>
      <c r="F331">
        <f>D331*(1+Inputs_State!$B$2*0)</f>
        <v/>
      </c>
      <c r="G331">
        <f>E331*(1+Inputs_State!$B$2*0)</f>
        <v/>
      </c>
    </row>
    <row r="332">
      <c r="A332" t="inlineStr">
        <is>
          <t>Mille Lacs</t>
        </is>
      </c>
      <c r="B332">
        <f>Inputs_State!$B$1</f>
        <v/>
      </c>
      <c r="C332" t="inlineStr">
        <is>
          <t>1</t>
        </is>
      </c>
      <c r="D332" t="n">
        <v>3168</v>
      </c>
      <c r="E332" t="n">
        <v>3369</v>
      </c>
      <c r="F332">
        <f>D332*(1+Inputs_State!$B$2*1)</f>
        <v/>
      </c>
      <c r="G332">
        <f>E332*(1+Inputs_State!$B$2*1)</f>
        <v/>
      </c>
    </row>
    <row r="333">
      <c r="A333" t="inlineStr">
        <is>
          <t>Mille Lacs</t>
        </is>
      </c>
      <c r="B333">
        <f>Inputs_State!$B$1</f>
        <v/>
      </c>
      <c r="C333" t="inlineStr">
        <is>
          <t>2</t>
        </is>
      </c>
      <c r="D333" t="n">
        <v>4127</v>
      </c>
      <c r="E333" t="n">
        <v>4418</v>
      </c>
      <c r="F333">
        <f>D333*(1+Inputs_State!$B$2*2)</f>
        <v/>
      </c>
      <c r="G333">
        <f>E333*(1+Inputs_State!$B$2*2)</f>
        <v/>
      </c>
    </row>
    <row r="334">
      <c r="A334" t="inlineStr">
        <is>
          <t>Mille Lacs</t>
        </is>
      </c>
      <c r="B334">
        <f>Inputs_State!$B$1</f>
        <v/>
      </c>
      <c r="C334" t="inlineStr">
        <is>
          <t>3</t>
        </is>
      </c>
      <c r="D334" t="n">
        <v>4044</v>
      </c>
      <c r="E334" t="n">
        <v>4086</v>
      </c>
      <c r="F334">
        <f>D334*(1+Inputs_State!$B$2*3)</f>
        <v/>
      </c>
      <c r="G334">
        <f>E334*(1+Inputs_State!$B$2*3)</f>
        <v/>
      </c>
    </row>
    <row r="335">
      <c r="A335" t="inlineStr">
        <is>
          <t>Mille Lacs</t>
        </is>
      </c>
      <c r="B335">
        <f>Inputs_State!$B$1</f>
        <v/>
      </c>
      <c r="C335" t="inlineStr">
        <is>
          <t>4</t>
        </is>
      </c>
      <c r="D335" t="n">
        <v>3244</v>
      </c>
      <c r="E335" t="n">
        <v>3350</v>
      </c>
      <c r="F335">
        <f>D335*(1+Inputs_State!$B$2*4)</f>
        <v/>
      </c>
      <c r="G335">
        <f>E335*(1+Inputs_State!$B$2*4)</f>
        <v/>
      </c>
    </row>
    <row r="336">
      <c r="A336" t="inlineStr">
        <is>
          <t>Mille Lacs</t>
        </is>
      </c>
      <c r="B336">
        <f>Inputs_State!$B$1</f>
        <v/>
      </c>
      <c r="C336" t="inlineStr">
        <is>
          <t>5</t>
        </is>
      </c>
      <c r="D336" t="n">
        <v>2438</v>
      </c>
      <c r="E336" t="n">
        <v>2567</v>
      </c>
      <c r="F336">
        <f>D336*(1+Inputs_State!$B$2*5)</f>
        <v/>
      </c>
      <c r="G336">
        <f>E336*(1+Inputs_State!$B$2*5)</f>
        <v/>
      </c>
    </row>
    <row r="337">
      <c r="A337" t="inlineStr">
        <is>
          <t>Mille Lacs</t>
        </is>
      </c>
      <c r="B337">
        <f>Inputs_State!$B$1</f>
        <v/>
      </c>
      <c r="C337" t="inlineStr">
        <is>
          <t>6+</t>
        </is>
      </c>
      <c r="D337" t="n">
        <v>1421</v>
      </c>
      <c r="E337" t="n">
        <v>1506</v>
      </c>
      <c r="F337">
        <f>D337*(1+Inputs_State!$B$2*6)</f>
        <v/>
      </c>
      <c r="G337">
        <f>E337*(1+Inputs_State!$B$2*6)</f>
        <v/>
      </c>
    </row>
    <row r="338">
      <c r="A338" t="inlineStr">
        <is>
          <t>Morrison</t>
        </is>
      </c>
      <c r="B338">
        <f>Inputs_State!$B$1</f>
        <v/>
      </c>
      <c r="C338" t="inlineStr">
        <is>
          <t>0</t>
        </is>
      </c>
      <c r="D338" t="n">
        <v>1233</v>
      </c>
      <c r="E338" t="n">
        <v>1291</v>
      </c>
      <c r="F338">
        <f>D338*(1+Inputs_State!$B$2*0)</f>
        <v/>
      </c>
      <c r="G338">
        <f>E338*(1+Inputs_State!$B$2*0)</f>
        <v/>
      </c>
    </row>
    <row r="339">
      <c r="A339" t="inlineStr">
        <is>
          <t>Morrison</t>
        </is>
      </c>
      <c r="B339">
        <f>Inputs_State!$B$1</f>
        <v/>
      </c>
      <c r="C339" t="inlineStr">
        <is>
          <t>1</t>
        </is>
      </c>
      <c r="D339" t="n">
        <v>2532</v>
      </c>
      <c r="E339" t="n">
        <v>2592</v>
      </c>
      <c r="F339">
        <f>D339*(1+Inputs_State!$B$2*1)</f>
        <v/>
      </c>
      <c r="G339">
        <f>E339*(1+Inputs_State!$B$2*1)</f>
        <v/>
      </c>
    </row>
    <row r="340">
      <c r="A340" t="inlineStr">
        <is>
          <t>Morrison</t>
        </is>
      </c>
      <c r="B340">
        <f>Inputs_State!$B$1</f>
        <v/>
      </c>
      <c r="C340" t="inlineStr">
        <is>
          <t>2</t>
        </is>
      </c>
      <c r="D340" t="n">
        <v>3395</v>
      </c>
      <c r="E340" t="n">
        <v>3397</v>
      </c>
      <c r="F340">
        <f>D340*(1+Inputs_State!$B$2*2)</f>
        <v/>
      </c>
      <c r="G340">
        <f>E340*(1+Inputs_State!$B$2*2)</f>
        <v/>
      </c>
    </row>
    <row r="341">
      <c r="A341" t="inlineStr">
        <is>
          <t>Morrison</t>
        </is>
      </c>
      <c r="B341">
        <f>Inputs_State!$B$1</f>
        <v/>
      </c>
      <c r="C341" t="inlineStr">
        <is>
          <t>3</t>
        </is>
      </c>
      <c r="D341" t="n">
        <v>3213</v>
      </c>
      <c r="E341" t="n">
        <v>3153</v>
      </c>
      <c r="F341">
        <f>D341*(1+Inputs_State!$B$2*3)</f>
        <v/>
      </c>
      <c r="G341">
        <f>E341*(1+Inputs_State!$B$2*3)</f>
        <v/>
      </c>
    </row>
    <row r="342">
      <c r="A342" t="inlineStr">
        <is>
          <t>Morrison</t>
        </is>
      </c>
      <c r="B342">
        <f>Inputs_State!$B$1</f>
        <v/>
      </c>
      <c r="C342" t="inlineStr">
        <is>
          <t>4</t>
        </is>
      </c>
      <c r="D342" t="n">
        <v>2599</v>
      </c>
      <c r="E342" t="n">
        <v>2620</v>
      </c>
      <c r="F342">
        <f>D342*(1+Inputs_State!$B$2*4)</f>
        <v/>
      </c>
      <c r="G342">
        <f>E342*(1+Inputs_State!$B$2*4)</f>
        <v/>
      </c>
    </row>
    <row r="343">
      <c r="A343" t="inlineStr">
        <is>
          <t>Morrison</t>
        </is>
      </c>
      <c r="B343">
        <f>Inputs_State!$B$1</f>
        <v/>
      </c>
      <c r="C343" t="inlineStr">
        <is>
          <t>5</t>
        </is>
      </c>
      <c r="D343" t="n">
        <v>1923</v>
      </c>
      <c r="E343" t="n">
        <v>1921</v>
      </c>
      <c r="F343">
        <f>D343*(1+Inputs_State!$B$2*5)</f>
        <v/>
      </c>
      <c r="G343">
        <f>E343*(1+Inputs_State!$B$2*5)</f>
        <v/>
      </c>
    </row>
    <row r="344">
      <c r="A344" t="inlineStr">
        <is>
          <t>Morrison</t>
        </is>
      </c>
      <c r="B344">
        <f>Inputs_State!$B$1</f>
        <v/>
      </c>
      <c r="C344" t="inlineStr">
        <is>
          <t>6+</t>
        </is>
      </c>
      <c r="D344" t="n">
        <v>1131</v>
      </c>
      <c r="E344" t="n">
        <v>1123</v>
      </c>
      <c r="F344">
        <f>D344*(1+Inputs_State!$B$2*6)</f>
        <v/>
      </c>
      <c r="G344">
        <f>E344*(1+Inputs_State!$B$2*6)</f>
        <v/>
      </c>
    </row>
    <row r="345">
      <c r="A345" t="inlineStr">
        <is>
          <t>Mower</t>
        </is>
      </c>
      <c r="B345">
        <f>Inputs_State!$B$1</f>
        <v/>
      </c>
      <c r="C345" t="inlineStr">
        <is>
          <t>0</t>
        </is>
      </c>
      <c r="D345" t="n">
        <v>3820</v>
      </c>
      <c r="E345" t="n">
        <v>3583</v>
      </c>
      <c r="F345">
        <f>D345*(1+Inputs_State!$B$2*0)</f>
        <v/>
      </c>
      <c r="G345">
        <f>E345*(1+Inputs_State!$B$2*0)</f>
        <v/>
      </c>
    </row>
    <row r="346">
      <c r="A346" t="inlineStr">
        <is>
          <t>Mower</t>
        </is>
      </c>
      <c r="B346">
        <f>Inputs_State!$B$1</f>
        <v/>
      </c>
      <c r="C346" t="inlineStr">
        <is>
          <t>1</t>
        </is>
      </c>
      <c r="D346" t="n">
        <v>7726</v>
      </c>
      <c r="E346" t="n">
        <v>7100</v>
      </c>
      <c r="F346">
        <f>D346*(1+Inputs_State!$B$2*1)</f>
        <v/>
      </c>
      <c r="G346">
        <f>E346*(1+Inputs_State!$B$2*1)</f>
        <v/>
      </c>
    </row>
    <row r="347">
      <c r="A347" t="inlineStr">
        <is>
          <t>Mower</t>
        </is>
      </c>
      <c r="B347">
        <f>Inputs_State!$B$1</f>
        <v/>
      </c>
      <c r="C347" t="inlineStr">
        <is>
          <t>2</t>
        </is>
      </c>
      <c r="D347" t="n">
        <v>9922</v>
      </c>
      <c r="E347" t="n">
        <v>9316</v>
      </c>
      <c r="F347">
        <f>D347*(1+Inputs_State!$B$2*2)</f>
        <v/>
      </c>
      <c r="G347">
        <f>E347*(1+Inputs_State!$B$2*2)</f>
        <v/>
      </c>
    </row>
    <row r="348">
      <c r="A348" t="inlineStr">
        <is>
          <t>Mower</t>
        </is>
      </c>
      <c r="B348">
        <f>Inputs_State!$B$1</f>
        <v/>
      </c>
      <c r="C348" t="inlineStr">
        <is>
          <t>3</t>
        </is>
      </c>
      <c r="D348" t="n">
        <v>9439</v>
      </c>
      <c r="E348" t="n">
        <v>9000</v>
      </c>
      <c r="F348">
        <f>D348*(1+Inputs_State!$B$2*3)</f>
        <v/>
      </c>
      <c r="G348">
        <f>E348*(1+Inputs_State!$B$2*3)</f>
        <v/>
      </c>
    </row>
    <row r="349">
      <c r="A349" t="inlineStr">
        <is>
          <t>Mower</t>
        </is>
      </c>
      <c r="B349">
        <f>Inputs_State!$B$1</f>
        <v/>
      </c>
      <c r="C349" t="inlineStr">
        <is>
          <t>4</t>
        </is>
      </c>
      <c r="D349" t="n">
        <v>7476</v>
      </c>
      <c r="E349" t="n">
        <v>7076</v>
      </c>
      <c r="F349">
        <f>D349*(1+Inputs_State!$B$2*4)</f>
        <v/>
      </c>
      <c r="G349">
        <f>E349*(1+Inputs_State!$B$2*4)</f>
        <v/>
      </c>
    </row>
    <row r="350">
      <c r="A350" t="inlineStr">
        <is>
          <t>Mower</t>
        </is>
      </c>
      <c r="B350">
        <f>Inputs_State!$B$1</f>
        <v/>
      </c>
      <c r="C350" t="inlineStr">
        <is>
          <t>5</t>
        </is>
      </c>
      <c r="D350" t="n">
        <v>5703</v>
      </c>
      <c r="E350" t="n">
        <v>5292</v>
      </c>
      <c r="F350">
        <f>D350*(1+Inputs_State!$B$2*5)</f>
        <v/>
      </c>
      <c r="G350">
        <f>E350*(1+Inputs_State!$B$2*5)</f>
        <v/>
      </c>
    </row>
    <row r="351">
      <c r="A351" t="inlineStr">
        <is>
          <t>Mower</t>
        </is>
      </c>
      <c r="B351">
        <f>Inputs_State!$B$1</f>
        <v/>
      </c>
      <c r="C351" t="inlineStr">
        <is>
          <t>6+</t>
        </is>
      </c>
      <c r="D351" t="n">
        <v>3339</v>
      </c>
      <c r="E351" t="n">
        <v>3177</v>
      </c>
      <c r="F351">
        <f>D351*(1+Inputs_State!$B$2*6)</f>
        <v/>
      </c>
      <c r="G351">
        <f>E351*(1+Inputs_State!$B$2*6)</f>
        <v/>
      </c>
    </row>
    <row r="352">
      <c r="A352" t="inlineStr">
        <is>
          <t>Murray</t>
        </is>
      </c>
      <c r="B352">
        <f>Inputs_State!$B$1</f>
        <v/>
      </c>
      <c r="C352" t="inlineStr">
        <is>
          <t>0</t>
        </is>
      </c>
      <c r="D352" t="n">
        <v>2187</v>
      </c>
      <c r="E352" t="n">
        <v>2250</v>
      </c>
      <c r="F352">
        <f>D352*(1+Inputs_State!$B$2*0)</f>
        <v/>
      </c>
      <c r="G352">
        <f>E352*(1+Inputs_State!$B$2*0)</f>
        <v/>
      </c>
    </row>
    <row r="353">
      <c r="A353" t="inlineStr">
        <is>
          <t>Murray</t>
        </is>
      </c>
      <c r="B353">
        <f>Inputs_State!$B$1</f>
        <v/>
      </c>
      <c r="C353" t="inlineStr">
        <is>
          <t>1</t>
        </is>
      </c>
      <c r="D353" t="n">
        <v>4496</v>
      </c>
      <c r="E353" t="n">
        <v>4500</v>
      </c>
      <c r="F353">
        <f>D353*(1+Inputs_State!$B$2*1)</f>
        <v/>
      </c>
      <c r="G353">
        <f>E353*(1+Inputs_State!$B$2*1)</f>
        <v/>
      </c>
    </row>
    <row r="354">
      <c r="A354" t="inlineStr">
        <is>
          <t>Murray</t>
        </is>
      </c>
      <c r="B354">
        <f>Inputs_State!$B$1</f>
        <v/>
      </c>
      <c r="C354" t="inlineStr">
        <is>
          <t>2</t>
        </is>
      </c>
      <c r="D354" t="n">
        <v>5850</v>
      </c>
      <c r="E354" t="n">
        <v>6018</v>
      </c>
      <c r="F354">
        <f>D354*(1+Inputs_State!$B$2*2)</f>
        <v/>
      </c>
      <c r="G354">
        <f>E354*(1+Inputs_State!$B$2*2)</f>
        <v/>
      </c>
    </row>
    <row r="355">
      <c r="A355" t="inlineStr">
        <is>
          <t>Murray</t>
        </is>
      </c>
      <c r="B355">
        <f>Inputs_State!$B$1</f>
        <v/>
      </c>
      <c r="C355" t="inlineStr">
        <is>
          <t>3</t>
        </is>
      </c>
      <c r="D355" t="n">
        <v>5557</v>
      </c>
      <c r="E355" t="n">
        <v>5533</v>
      </c>
      <c r="F355">
        <f>D355*(1+Inputs_State!$B$2*3)</f>
        <v/>
      </c>
      <c r="G355">
        <f>E355*(1+Inputs_State!$B$2*3)</f>
        <v/>
      </c>
    </row>
    <row r="356">
      <c r="A356" t="inlineStr">
        <is>
          <t>Murray</t>
        </is>
      </c>
      <c r="B356">
        <f>Inputs_State!$B$1</f>
        <v/>
      </c>
      <c r="C356" t="inlineStr">
        <is>
          <t>4</t>
        </is>
      </c>
      <c r="D356" t="n">
        <v>4364</v>
      </c>
      <c r="E356" t="n">
        <v>4575</v>
      </c>
      <c r="F356">
        <f>D356*(1+Inputs_State!$B$2*4)</f>
        <v/>
      </c>
      <c r="G356">
        <f>E356*(1+Inputs_State!$B$2*4)</f>
        <v/>
      </c>
    </row>
    <row r="357">
      <c r="A357" t="inlineStr">
        <is>
          <t>Murray</t>
        </is>
      </c>
      <c r="B357">
        <f>Inputs_State!$B$1</f>
        <v/>
      </c>
      <c r="C357" t="inlineStr">
        <is>
          <t>5</t>
        </is>
      </c>
      <c r="D357" t="n">
        <v>3343</v>
      </c>
      <c r="E357" t="n">
        <v>3418</v>
      </c>
      <c r="F357">
        <f>D357*(1+Inputs_State!$B$2*5)</f>
        <v/>
      </c>
      <c r="G357">
        <f>E357*(1+Inputs_State!$B$2*5)</f>
        <v/>
      </c>
    </row>
    <row r="358">
      <c r="A358" t="inlineStr">
        <is>
          <t>Murray</t>
        </is>
      </c>
      <c r="B358">
        <f>Inputs_State!$B$1</f>
        <v/>
      </c>
      <c r="C358" t="inlineStr">
        <is>
          <t>6+</t>
        </is>
      </c>
      <c r="D358" t="n">
        <v>2000</v>
      </c>
      <c r="E358" t="n">
        <v>1959</v>
      </c>
      <c r="F358">
        <f>D358*(1+Inputs_State!$B$2*6)</f>
        <v/>
      </c>
      <c r="G358">
        <f>E358*(1+Inputs_State!$B$2*6)</f>
        <v/>
      </c>
    </row>
    <row r="359">
      <c r="A359" t="inlineStr">
        <is>
          <t>Nicollet</t>
        </is>
      </c>
      <c r="B359">
        <f>Inputs_State!$B$1</f>
        <v/>
      </c>
      <c r="C359" t="inlineStr">
        <is>
          <t>0</t>
        </is>
      </c>
      <c r="D359" t="n">
        <v>1054</v>
      </c>
      <c r="E359" t="n">
        <v>1038</v>
      </c>
      <c r="F359">
        <f>D359*(1+Inputs_State!$B$2*0)</f>
        <v/>
      </c>
      <c r="G359">
        <f>E359*(1+Inputs_State!$B$2*0)</f>
        <v/>
      </c>
    </row>
    <row r="360">
      <c r="A360" t="inlineStr">
        <is>
          <t>Nicollet</t>
        </is>
      </c>
      <c r="B360">
        <f>Inputs_State!$B$1</f>
        <v/>
      </c>
      <c r="C360" t="inlineStr">
        <is>
          <t>1</t>
        </is>
      </c>
      <c r="D360" t="n">
        <v>2111</v>
      </c>
      <c r="E360" t="n">
        <v>2100</v>
      </c>
      <c r="F360">
        <f>D360*(1+Inputs_State!$B$2*1)</f>
        <v/>
      </c>
      <c r="G360">
        <f>E360*(1+Inputs_State!$B$2*1)</f>
        <v/>
      </c>
    </row>
    <row r="361">
      <c r="A361" t="inlineStr">
        <is>
          <t>Nicollet</t>
        </is>
      </c>
      <c r="B361">
        <f>Inputs_State!$B$1</f>
        <v/>
      </c>
      <c r="C361" t="inlineStr">
        <is>
          <t>2</t>
        </is>
      </c>
      <c r="D361" t="n">
        <v>2880</v>
      </c>
      <c r="E361" t="n">
        <v>2761</v>
      </c>
      <c r="F361">
        <f>D361*(1+Inputs_State!$B$2*2)</f>
        <v/>
      </c>
      <c r="G361">
        <f>E361*(1+Inputs_State!$B$2*2)</f>
        <v/>
      </c>
    </row>
    <row r="362">
      <c r="A362" t="inlineStr">
        <is>
          <t>Nicollet</t>
        </is>
      </c>
      <c r="B362">
        <f>Inputs_State!$B$1</f>
        <v/>
      </c>
      <c r="C362" t="inlineStr">
        <is>
          <t>3</t>
        </is>
      </c>
      <c r="D362" t="n">
        <v>2535</v>
      </c>
      <c r="E362" t="n">
        <v>2573</v>
      </c>
      <c r="F362">
        <f>D362*(1+Inputs_State!$B$2*3)</f>
        <v/>
      </c>
      <c r="G362">
        <f>E362*(1+Inputs_State!$B$2*3)</f>
        <v/>
      </c>
    </row>
    <row r="363">
      <c r="A363" t="inlineStr">
        <is>
          <t>Nicollet</t>
        </is>
      </c>
      <c r="B363">
        <f>Inputs_State!$B$1</f>
        <v/>
      </c>
      <c r="C363" t="inlineStr">
        <is>
          <t>4</t>
        </is>
      </c>
      <c r="D363" t="n">
        <v>2131</v>
      </c>
      <c r="E363" t="n">
        <v>2077</v>
      </c>
      <c r="F363">
        <f>D363*(1+Inputs_State!$B$2*4)</f>
        <v/>
      </c>
      <c r="G363">
        <f>E363*(1+Inputs_State!$B$2*4)</f>
        <v/>
      </c>
    </row>
    <row r="364">
      <c r="A364" t="inlineStr">
        <is>
          <t>Nicollet</t>
        </is>
      </c>
      <c r="B364">
        <f>Inputs_State!$B$1</f>
        <v/>
      </c>
      <c r="C364" t="inlineStr">
        <is>
          <t>5</t>
        </is>
      </c>
      <c r="D364" t="n">
        <v>1592</v>
      </c>
      <c r="E364" t="n">
        <v>1580</v>
      </c>
      <c r="F364">
        <f>D364*(1+Inputs_State!$B$2*5)</f>
        <v/>
      </c>
      <c r="G364">
        <f>E364*(1+Inputs_State!$B$2*5)</f>
        <v/>
      </c>
    </row>
    <row r="365">
      <c r="A365" t="inlineStr">
        <is>
          <t>Nicollet</t>
        </is>
      </c>
      <c r="B365">
        <f>Inputs_State!$B$1</f>
        <v/>
      </c>
      <c r="C365" t="inlineStr">
        <is>
          <t>6+</t>
        </is>
      </c>
      <c r="D365" t="n">
        <v>938</v>
      </c>
      <c r="E365" t="n">
        <v>898</v>
      </c>
      <c r="F365">
        <f>D365*(1+Inputs_State!$B$2*6)</f>
        <v/>
      </c>
      <c r="G365">
        <f>E365*(1+Inputs_State!$B$2*6)</f>
        <v/>
      </c>
    </row>
    <row r="366">
      <c r="A366" t="inlineStr">
        <is>
          <t>Nobles</t>
        </is>
      </c>
      <c r="B366">
        <f>Inputs_State!$B$1</f>
        <v/>
      </c>
      <c r="C366" t="inlineStr">
        <is>
          <t>0</t>
        </is>
      </c>
      <c r="D366" t="n">
        <v>1178</v>
      </c>
      <c r="E366" t="n">
        <v>1175</v>
      </c>
      <c r="F366">
        <f>D366*(1+Inputs_State!$B$2*0)</f>
        <v/>
      </c>
      <c r="G366">
        <f>E366*(1+Inputs_State!$B$2*0)</f>
        <v/>
      </c>
    </row>
    <row r="367">
      <c r="A367" t="inlineStr">
        <is>
          <t>Nobles</t>
        </is>
      </c>
      <c r="B367">
        <f>Inputs_State!$B$1</f>
        <v/>
      </c>
      <c r="C367" t="inlineStr">
        <is>
          <t>1</t>
        </is>
      </c>
      <c r="D367" t="n">
        <v>2343</v>
      </c>
      <c r="E367" t="n">
        <v>2365</v>
      </c>
      <c r="F367">
        <f>D367*(1+Inputs_State!$B$2*1)</f>
        <v/>
      </c>
      <c r="G367">
        <f>E367*(1+Inputs_State!$B$2*1)</f>
        <v/>
      </c>
    </row>
    <row r="368">
      <c r="A368" t="inlineStr">
        <is>
          <t>Nobles</t>
        </is>
      </c>
      <c r="B368">
        <f>Inputs_State!$B$1</f>
        <v/>
      </c>
      <c r="C368" t="inlineStr">
        <is>
          <t>2</t>
        </is>
      </c>
      <c r="D368" t="n">
        <v>3087</v>
      </c>
      <c r="E368" t="n">
        <v>3051</v>
      </c>
      <c r="F368">
        <f>D368*(1+Inputs_State!$B$2*2)</f>
        <v/>
      </c>
      <c r="G368">
        <f>E368*(1+Inputs_State!$B$2*2)</f>
        <v/>
      </c>
    </row>
    <row r="369">
      <c r="A369" t="inlineStr">
        <is>
          <t>Nobles</t>
        </is>
      </c>
      <c r="B369">
        <f>Inputs_State!$B$1</f>
        <v/>
      </c>
      <c r="C369" t="inlineStr">
        <is>
          <t>3</t>
        </is>
      </c>
      <c r="D369" t="n">
        <v>2834</v>
      </c>
      <c r="E369" t="n">
        <v>2907</v>
      </c>
      <c r="F369">
        <f>D369*(1+Inputs_State!$B$2*3)</f>
        <v/>
      </c>
      <c r="G369">
        <f>E369*(1+Inputs_State!$B$2*3)</f>
        <v/>
      </c>
    </row>
    <row r="370">
      <c r="A370" t="inlineStr">
        <is>
          <t>Nobles</t>
        </is>
      </c>
      <c r="B370">
        <f>Inputs_State!$B$1</f>
        <v/>
      </c>
      <c r="C370" t="inlineStr">
        <is>
          <t>4</t>
        </is>
      </c>
      <c r="D370" t="n">
        <v>2388</v>
      </c>
      <c r="E370" t="n">
        <v>2407</v>
      </c>
      <c r="F370">
        <f>D370*(1+Inputs_State!$B$2*4)</f>
        <v/>
      </c>
      <c r="G370">
        <f>E370*(1+Inputs_State!$B$2*4)</f>
        <v/>
      </c>
    </row>
    <row r="371">
      <c r="A371" t="inlineStr">
        <is>
          <t>Nobles</t>
        </is>
      </c>
      <c r="B371">
        <f>Inputs_State!$B$1</f>
        <v/>
      </c>
      <c r="C371" t="inlineStr">
        <is>
          <t>5</t>
        </is>
      </c>
      <c r="D371" t="n">
        <v>1784</v>
      </c>
      <c r="E371" t="n">
        <v>1742</v>
      </c>
      <c r="F371">
        <f>D371*(1+Inputs_State!$B$2*5)</f>
        <v/>
      </c>
      <c r="G371">
        <f>E371*(1+Inputs_State!$B$2*5)</f>
        <v/>
      </c>
    </row>
    <row r="372">
      <c r="A372" t="inlineStr">
        <is>
          <t>Nobles</t>
        </is>
      </c>
      <c r="B372">
        <f>Inputs_State!$B$1</f>
        <v/>
      </c>
      <c r="C372" t="inlineStr">
        <is>
          <t>6+</t>
        </is>
      </c>
      <c r="D372" t="n">
        <v>1011</v>
      </c>
      <c r="E372" t="n">
        <v>1040</v>
      </c>
      <c r="F372">
        <f>D372*(1+Inputs_State!$B$2*6)</f>
        <v/>
      </c>
      <c r="G372">
        <f>E372*(1+Inputs_State!$B$2*6)</f>
        <v/>
      </c>
    </row>
    <row r="373">
      <c r="A373" t="inlineStr">
        <is>
          <t>Norman</t>
        </is>
      </c>
      <c r="B373">
        <f>Inputs_State!$B$1</f>
        <v/>
      </c>
      <c r="C373" t="inlineStr">
        <is>
          <t>0</t>
        </is>
      </c>
      <c r="D373" t="n">
        <v>900</v>
      </c>
      <c r="E373" t="n">
        <v>854</v>
      </c>
      <c r="F373">
        <f>D373*(1+Inputs_State!$B$2*0)</f>
        <v/>
      </c>
      <c r="G373">
        <f>E373*(1+Inputs_State!$B$2*0)</f>
        <v/>
      </c>
    </row>
    <row r="374">
      <c r="A374" t="inlineStr">
        <is>
          <t>Norman</t>
        </is>
      </c>
      <c r="B374">
        <f>Inputs_State!$B$1</f>
        <v/>
      </c>
      <c r="C374" t="inlineStr">
        <is>
          <t>1</t>
        </is>
      </c>
      <c r="D374" t="n">
        <v>1801</v>
      </c>
      <c r="E374" t="n">
        <v>1681</v>
      </c>
      <c r="F374">
        <f>D374*(1+Inputs_State!$B$2*1)</f>
        <v/>
      </c>
      <c r="G374">
        <f>E374*(1+Inputs_State!$B$2*1)</f>
        <v/>
      </c>
    </row>
    <row r="375">
      <c r="A375" t="inlineStr">
        <is>
          <t>Norman</t>
        </is>
      </c>
      <c r="B375">
        <f>Inputs_State!$B$1</f>
        <v/>
      </c>
      <c r="C375" t="inlineStr">
        <is>
          <t>2</t>
        </is>
      </c>
      <c r="D375" t="n">
        <v>2367</v>
      </c>
      <c r="E375" t="n">
        <v>2375</v>
      </c>
      <c r="F375">
        <f>D375*(1+Inputs_State!$B$2*2)</f>
        <v/>
      </c>
      <c r="G375">
        <f>E375*(1+Inputs_State!$B$2*2)</f>
        <v/>
      </c>
    </row>
    <row r="376">
      <c r="A376" t="inlineStr">
        <is>
          <t>Norman</t>
        </is>
      </c>
      <c r="B376">
        <f>Inputs_State!$B$1</f>
        <v/>
      </c>
      <c r="C376" t="inlineStr">
        <is>
          <t>3</t>
        </is>
      </c>
      <c r="D376" t="n">
        <v>2286</v>
      </c>
      <c r="E376" t="n">
        <v>2145</v>
      </c>
      <c r="F376">
        <f>D376*(1+Inputs_State!$B$2*3)</f>
        <v/>
      </c>
      <c r="G376">
        <f>E376*(1+Inputs_State!$B$2*3)</f>
        <v/>
      </c>
    </row>
    <row r="377">
      <c r="A377" t="inlineStr">
        <is>
          <t>Norman</t>
        </is>
      </c>
      <c r="B377">
        <f>Inputs_State!$B$1</f>
        <v/>
      </c>
      <c r="C377" t="inlineStr">
        <is>
          <t>4</t>
        </is>
      </c>
      <c r="D377" t="n">
        <v>1906</v>
      </c>
      <c r="E377" t="n">
        <v>1696</v>
      </c>
      <c r="F377">
        <f>D377*(1+Inputs_State!$B$2*4)</f>
        <v/>
      </c>
      <c r="G377">
        <f>E377*(1+Inputs_State!$B$2*4)</f>
        <v/>
      </c>
    </row>
    <row r="378">
      <c r="A378" t="inlineStr">
        <is>
          <t>Norman</t>
        </is>
      </c>
      <c r="B378">
        <f>Inputs_State!$B$1</f>
        <v/>
      </c>
      <c r="C378" t="inlineStr">
        <is>
          <t>5</t>
        </is>
      </c>
      <c r="D378" t="n">
        <v>1358</v>
      </c>
      <c r="E378" t="n">
        <v>1250</v>
      </c>
      <c r="F378">
        <f>D378*(1+Inputs_State!$B$2*5)</f>
        <v/>
      </c>
      <c r="G378">
        <f>E378*(1+Inputs_State!$B$2*5)</f>
        <v/>
      </c>
    </row>
    <row r="379">
      <c r="A379" t="inlineStr">
        <is>
          <t>Norman</t>
        </is>
      </c>
      <c r="B379">
        <f>Inputs_State!$B$1</f>
        <v/>
      </c>
      <c r="C379" t="inlineStr">
        <is>
          <t>6+</t>
        </is>
      </c>
      <c r="D379" t="n">
        <v>799</v>
      </c>
      <c r="E379" t="n">
        <v>759</v>
      </c>
      <c r="F379">
        <f>D379*(1+Inputs_State!$B$2*6)</f>
        <v/>
      </c>
      <c r="G379">
        <f>E379*(1+Inputs_State!$B$2*6)</f>
        <v/>
      </c>
    </row>
    <row r="380">
      <c r="A380" t="inlineStr">
        <is>
          <t>Olmsted</t>
        </is>
      </c>
      <c r="B380">
        <f>Inputs_State!$B$1</f>
        <v/>
      </c>
      <c r="C380" t="inlineStr">
        <is>
          <t>0</t>
        </is>
      </c>
      <c r="D380" t="n">
        <v>4367</v>
      </c>
      <c r="E380" t="n">
        <v>4475</v>
      </c>
      <c r="F380">
        <f>D380*(1+Inputs_State!$B$2*0)</f>
        <v/>
      </c>
      <c r="G380">
        <f>E380*(1+Inputs_State!$B$2*0)</f>
        <v/>
      </c>
    </row>
    <row r="381">
      <c r="A381" t="inlineStr">
        <is>
          <t>Olmsted</t>
        </is>
      </c>
      <c r="B381">
        <f>Inputs_State!$B$1</f>
        <v/>
      </c>
      <c r="C381" t="inlineStr">
        <is>
          <t>1</t>
        </is>
      </c>
      <c r="D381" t="n">
        <v>8879</v>
      </c>
      <c r="E381" t="n">
        <v>9013</v>
      </c>
      <c r="F381">
        <f>D381*(1+Inputs_State!$B$2*1)</f>
        <v/>
      </c>
      <c r="G381">
        <f>E381*(1+Inputs_State!$B$2*1)</f>
        <v/>
      </c>
    </row>
    <row r="382">
      <c r="A382" t="inlineStr">
        <is>
          <t>Olmsted</t>
        </is>
      </c>
      <c r="B382">
        <f>Inputs_State!$B$1</f>
        <v/>
      </c>
      <c r="C382" t="inlineStr">
        <is>
          <t>2</t>
        </is>
      </c>
      <c r="D382" t="n">
        <v>11530</v>
      </c>
      <c r="E382" t="n">
        <v>11799</v>
      </c>
      <c r="F382">
        <f>D382*(1+Inputs_State!$B$2*2)</f>
        <v/>
      </c>
      <c r="G382">
        <f>E382*(1+Inputs_State!$B$2*2)</f>
        <v/>
      </c>
    </row>
    <row r="383">
      <c r="A383" t="inlineStr">
        <is>
          <t>Olmsted</t>
        </is>
      </c>
      <c r="B383">
        <f>Inputs_State!$B$1</f>
        <v/>
      </c>
      <c r="C383" t="inlineStr">
        <is>
          <t>3</t>
        </is>
      </c>
      <c r="D383" t="n">
        <v>11081</v>
      </c>
      <c r="E383" t="n">
        <v>11293</v>
      </c>
      <c r="F383">
        <f>D383*(1+Inputs_State!$B$2*3)</f>
        <v/>
      </c>
      <c r="G383">
        <f>E383*(1+Inputs_State!$B$2*3)</f>
        <v/>
      </c>
    </row>
    <row r="384">
      <c r="A384" t="inlineStr">
        <is>
          <t>Olmsted</t>
        </is>
      </c>
      <c r="B384">
        <f>Inputs_State!$B$1</f>
        <v/>
      </c>
      <c r="C384" t="inlineStr">
        <is>
          <t>4</t>
        </is>
      </c>
      <c r="D384" t="n">
        <v>8877</v>
      </c>
      <c r="E384" t="n">
        <v>9002</v>
      </c>
      <c r="F384">
        <f>D384*(1+Inputs_State!$B$2*4)</f>
        <v/>
      </c>
      <c r="G384">
        <f>E384*(1+Inputs_State!$B$2*4)</f>
        <v/>
      </c>
    </row>
    <row r="385">
      <c r="A385" t="inlineStr">
        <is>
          <t>Olmsted</t>
        </is>
      </c>
      <c r="B385">
        <f>Inputs_State!$B$1</f>
        <v/>
      </c>
      <c r="C385" t="inlineStr">
        <is>
          <t>5</t>
        </is>
      </c>
      <c r="D385" t="n">
        <v>6603</v>
      </c>
      <c r="E385" t="n">
        <v>6685</v>
      </c>
      <c r="F385">
        <f>D385*(1+Inputs_State!$B$2*5)</f>
        <v/>
      </c>
      <c r="G385">
        <f>E385*(1+Inputs_State!$B$2*5)</f>
        <v/>
      </c>
    </row>
    <row r="386">
      <c r="A386" t="inlineStr">
        <is>
          <t>Olmsted</t>
        </is>
      </c>
      <c r="B386">
        <f>Inputs_State!$B$1</f>
        <v/>
      </c>
      <c r="C386" t="inlineStr">
        <is>
          <t>6+</t>
        </is>
      </c>
      <c r="D386" t="n">
        <v>3859</v>
      </c>
      <c r="E386" t="n">
        <v>3961</v>
      </c>
      <c r="F386">
        <f>D386*(1+Inputs_State!$B$2*6)</f>
        <v/>
      </c>
      <c r="G386">
        <f>E386*(1+Inputs_State!$B$2*6)</f>
        <v/>
      </c>
    </row>
    <row r="387">
      <c r="A387" t="inlineStr">
        <is>
          <t>Otter Tail</t>
        </is>
      </c>
      <c r="B387">
        <f>Inputs_State!$B$1</f>
        <v/>
      </c>
      <c r="C387" t="inlineStr">
        <is>
          <t>0</t>
        </is>
      </c>
      <c r="D387" t="n">
        <v>3762</v>
      </c>
      <c r="E387" t="n">
        <v>3764</v>
      </c>
      <c r="F387">
        <f>D387*(1+Inputs_State!$B$2*0)</f>
        <v/>
      </c>
      <c r="G387">
        <f>E387*(1+Inputs_State!$B$2*0)</f>
        <v/>
      </c>
    </row>
    <row r="388">
      <c r="A388" t="inlineStr">
        <is>
          <t>Otter Tail</t>
        </is>
      </c>
      <c r="B388">
        <f>Inputs_State!$B$1</f>
        <v/>
      </c>
      <c r="C388" t="inlineStr">
        <is>
          <t>1</t>
        </is>
      </c>
      <c r="D388" t="n">
        <v>7492</v>
      </c>
      <c r="E388" t="n">
        <v>7793</v>
      </c>
      <c r="F388">
        <f>D388*(1+Inputs_State!$B$2*1)</f>
        <v/>
      </c>
      <c r="G388">
        <f>E388*(1+Inputs_State!$B$2*1)</f>
        <v/>
      </c>
    </row>
    <row r="389">
      <c r="A389" t="inlineStr">
        <is>
          <t>Otter Tail</t>
        </is>
      </c>
      <c r="B389">
        <f>Inputs_State!$B$1</f>
        <v/>
      </c>
      <c r="C389" t="inlineStr">
        <is>
          <t>2</t>
        </is>
      </c>
      <c r="D389" t="n">
        <v>9741</v>
      </c>
      <c r="E389" t="n">
        <v>10005</v>
      </c>
      <c r="F389">
        <f>D389*(1+Inputs_State!$B$2*2)</f>
        <v/>
      </c>
      <c r="G389">
        <f>E389*(1+Inputs_State!$B$2*2)</f>
        <v/>
      </c>
    </row>
    <row r="390">
      <c r="A390" t="inlineStr">
        <is>
          <t>Otter Tail</t>
        </is>
      </c>
      <c r="B390">
        <f>Inputs_State!$B$1</f>
        <v/>
      </c>
      <c r="C390" t="inlineStr">
        <is>
          <t>3</t>
        </is>
      </c>
      <c r="D390" t="n">
        <v>9228</v>
      </c>
      <c r="E390" t="n">
        <v>9462</v>
      </c>
      <c r="F390">
        <f>D390*(1+Inputs_State!$B$2*3)</f>
        <v/>
      </c>
      <c r="G390">
        <f>E390*(1+Inputs_State!$B$2*3)</f>
        <v/>
      </c>
    </row>
    <row r="391">
      <c r="A391" t="inlineStr">
        <is>
          <t>Otter Tail</t>
        </is>
      </c>
      <c r="B391">
        <f>Inputs_State!$B$1</f>
        <v/>
      </c>
      <c r="C391" t="inlineStr">
        <is>
          <t>4</t>
        </is>
      </c>
      <c r="D391" t="n">
        <v>7516</v>
      </c>
      <c r="E391" t="n">
        <v>7495</v>
      </c>
      <c r="F391">
        <f>D391*(1+Inputs_State!$B$2*4)</f>
        <v/>
      </c>
      <c r="G391">
        <f>E391*(1+Inputs_State!$B$2*4)</f>
        <v/>
      </c>
    </row>
    <row r="392">
      <c r="A392" t="inlineStr">
        <is>
          <t>Otter Tail</t>
        </is>
      </c>
      <c r="B392">
        <f>Inputs_State!$B$1</f>
        <v/>
      </c>
      <c r="C392" t="inlineStr">
        <is>
          <t>5</t>
        </is>
      </c>
      <c r="D392" t="n">
        <v>5468</v>
      </c>
      <c r="E392" t="n">
        <v>5818</v>
      </c>
      <c r="F392">
        <f>D392*(1+Inputs_State!$B$2*5)</f>
        <v/>
      </c>
      <c r="G392">
        <f>E392*(1+Inputs_State!$B$2*5)</f>
        <v/>
      </c>
    </row>
    <row r="393">
      <c r="A393" t="inlineStr">
        <is>
          <t>Otter Tail</t>
        </is>
      </c>
      <c r="B393">
        <f>Inputs_State!$B$1</f>
        <v/>
      </c>
      <c r="C393" t="inlineStr">
        <is>
          <t>6+</t>
        </is>
      </c>
      <c r="D393" t="n">
        <v>3254</v>
      </c>
      <c r="E393" t="n">
        <v>3263</v>
      </c>
      <c r="F393">
        <f>D393*(1+Inputs_State!$B$2*6)</f>
        <v/>
      </c>
      <c r="G393">
        <f>E393*(1+Inputs_State!$B$2*6)</f>
        <v/>
      </c>
    </row>
    <row r="394">
      <c r="A394" t="inlineStr">
        <is>
          <t>Pennington</t>
        </is>
      </c>
      <c r="B394">
        <f>Inputs_State!$B$1</f>
        <v/>
      </c>
      <c r="C394" t="inlineStr">
        <is>
          <t>0</t>
        </is>
      </c>
      <c r="D394" t="n">
        <v>700</v>
      </c>
      <c r="E394" t="n">
        <v>696</v>
      </c>
      <c r="F394">
        <f>D394*(1+Inputs_State!$B$2*0)</f>
        <v/>
      </c>
      <c r="G394">
        <f>E394*(1+Inputs_State!$B$2*0)</f>
        <v/>
      </c>
    </row>
    <row r="395">
      <c r="A395" t="inlineStr">
        <is>
          <t>Pennington</t>
        </is>
      </c>
      <c r="B395">
        <f>Inputs_State!$B$1</f>
        <v/>
      </c>
      <c r="C395" t="inlineStr">
        <is>
          <t>1</t>
        </is>
      </c>
      <c r="D395" t="n">
        <v>1385</v>
      </c>
      <c r="E395" t="n">
        <v>1419</v>
      </c>
      <c r="F395">
        <f>D395*(1+Inputs_State!$B$2*1)</f>
        <v/>
      </c>
      <c r="G395">
        <f>E395*(1+Inputs_State!$B$2*1)</f>
        <v/>
      </c>
    </row>
    <row r="396">
      <c r="A396" t="inlineStr">
        <is>
          <t>Pennington</t>
        </is>
      </c>
      <c r="B396">
        <f>Inputs_State!$B$1</f>
        <v/>
      </c>
      <c r="C396" t="inlineStr">
        <is>
          <t>2</t>
        </is>
      </c>
      <c r="D396" t="n">
        <v>1955</v>
      </c>
      <c r="E396" t="n">
        <v>1961</v>
      </c>
      <c r="F396">
        <f>D396*(1+Inputs_State!$B$2*2)</f>
        <v/>
      </c>
      <c r="G396">
        <f>E396*(1+Inputs_State!$B$2*2)</f>
        <v/>
      </c>
    </row>
    <row r="397">
      <c r="A397" t="inlineStr">
        <is>
          <t>Pennington</t>
        </is>
      </c>
      <c r="B397">
        <f>Inputs_State!$B$1</f>
        <v/>
      </c>
      <c r="C397" t="inlineStr">
        <is>
          <t>3</t>
        </is>
      </c>
      <c r="D397" t="n">
        <v>1882</v>
      </c>
      <c r="E397" t="n">
        <v>1817</v>
      </c>
      <c r="F397">
        <f>D397*(1+Inputs_State!$B$2*3)</f>
        <v/>
      </c>
      <c r="G397">
        <f>E397*(1+Inputs_State!$B$2*3)</f>
        <v/>
      </c>
    </row>
    <row r="398">
      <c r="A398" t="inlineStr">
        <is>
          <t>Pennington</t>
        </is>
      </c>
      <c r="B398">
        <f>Inputs_State!$B$1</f>
        <v/>
      </c>
      <c r="C398" t="inlineStr">
        <is>
          <t>4</t>
        </is>
      </c>
      <c r="D398" t="n">
        <v>1482</v>
      </c>
      <c r="E398" t="n">
        <v>1340</v>
      </c>
      <c r="F398">
        <f>D398*(1+Inputs_State!$B$2*4)</f>
        <v/>
      </c>
      <c r="G398">
        <f>E398*(1+Inputs_State!$B$2*4)</f>
        <v/>
      </c>
    </row>
    <row r="399">
      <c r="A399" t="inlineStr">
        <is>
          <t>Pennington</t>
        </is>
      </c>
      <c r="B399">
        <f>Inputs_State!$B$1</f>
        <v/>
      </c>
      <c r="C399" t="inlineStr">
        <is>
          <t>5</t>
        </is>
      </c>
      <c r="D399" t="n">
        <v>1108</v>
      </c>
      <c r="E399" t="n">
        <v>1108</v>
      </c>
      <c r="F399">
        <f>D399*(1+Inputs_State!$B$2*5)</f>
        <v/>
      </c>
      <c r="G399">
        <f>E399*(1+Inputs_State!$B$2*5)</f>
        <v/>
      </c>
    </row>
    <row r="400">
      <c r="A400" t="inlineStr">
        <is>
          <t>Pennington</t>
        </is>
      </c>
      <c r="B400">
        <f>Inputs_State!$B$1</f>
        <v/>
      </c>
      <c r="C400" t="inlineStr">
        <is>
          <t>6+</t>
        </is>
      </c>
      <c r="D400" t="n">
        <v>620</v>
      </c>
      <c r="E400" t="n">
        <v>633</v>
      </c>
      <c r="F400">
        <f>D400*(1+Inputs_State!$B$2*6)</f>
        <v/>
      </c>
      <c r="G400">
        <f>E400*(1+Inputs_State!$B$2*6)</f>
        <v/>
      </c>
    </row>
    <row r="401">
      <c r="A401" t="inlineStr">
        <is>
          <t>Pine</t>
        </is>
      </c>
      <c r="B401">
        <f>Inputs_State!$B$1</f>
        <v/>
      </c>
      <c r="C401" t="inlineStr">
        <is>
          <t>0</t>
        </is>
      </c>
      <c r="D401" t="n">
        <v>550</v>
      </c>
      <c r="E401" t="n">
        <v>600</v>
      </c>
      <c r="F401">
        <f>D401*(1+Inputs_State!$B$2*0)</f>
        <v/>
      </c>
      <c r="G401">
        <f>E401*(1+Inputs_State!$B$2*0)</f>
        <v/>
      </c>
    </row>
    <row r="402">
      <c r="A402" t="inlineStr">
        <is>
          <t>Pine</t>
        </is>
      </c>
      <c r="B402">
        <f>Inputs_State!$B$1</f>
        <v/>
      </c>
      <c r="C402" t="inlineStr">
        <is>
          <t>1</t>
        </is>
      </c>
      <c r="D402" t="n">
        <v>1127</v>
      </c>
      <c r="E402" t="n">
        <v>1142</v>
      </c>
      <c r="F402">
        <f>D402*(1+Inputs_State!$B$2*1)</f>
        <v/>
      </c>
      <c r="G402">
        <f>E402*(1+Inputs_State!$B$2*1)</f>
        <v/>
      </c>
    </row>
    <row r="403">
      <c r="A403" t="inlineStr">
        <is>
          <t>Pine</t>
        </is>
      </c>
      <c r="B403">
        <f>Inputs_State!$B$1</f>
        <v/>
      </c>
      <c r="C403" t="inlineStr">
        <is>
          <t>2</t>
        </is>
      </c>
      <c r="D403" t="n">
        <v>1484</v>
      </c>
      <c r="E403" t="n">
        <v>1502</v>
      </c>
      <c r="F403">
        <f>D403*(1+Inputs_State!$B$2*2)</f>
        <v/>
      </c>
      <c r="G403">
        <f>E403*(1+Inputs_State!$B$2*2)</f>
        <v/>
      </c>
    </row>
    <row r="404">
      <c r="A404" t="inlineStr">
        <is>
          <t>Pine</t>
        </is>
      </c>
      <c r="B404">
        <f>Inputs_State!$B$1</f>
        <v/>
      </c>
      <c r="C404" t="inlineStr">
        <is>
          <t>3</t>
        </is>
      </c>
      <c r="D404" t="n">
        <v>1357</v>
      </c>
      <c r="E404" t="n">
        <v>1386</v>
      </c>
      <c r="F404">
        <f>D404*(1+Inputs_State!$B$2*3)</f>
        <v/>
      </c>
      <c r="G404">
        <f>E404*(1+Inputs_State!$B$2*3)</f>
        <v/>
      </c>
    </row>
    <row r="405">
      <c r="A405" t="inlineStr">
        <is>
          <t>Pine</t>
        </is>
      </c>
      <c r="B405">
        <f>Inputs_State!$B$1</f>
        <v/>
      </c>
      <c r="C405" t="inlineStr">
        <is>
          <t>4</t>
        </is>
      </c>
      <c r="D405" t="n">
        <v>1094</v>
      </c>
      <c r="E405" t="n">
        <v>1062</v>
      </c>
      <c r="F405">
        <f>D405*(1+Inputs_State!$B$2*4)</f>
        <v/>
      </c>
      <c r="G405">
        <f>E405*(1+Inputs_State!$B$2*4)</f>
        <v/>
      </c>
    </row>
    <row r="406">
      <c r="A406" t="inlineStr">
        <is>
          <t>Pine</t>
        </is>
      </c>
      <c r="B406">
        <f>Inputs_State!$B$1</f>
        <v/>
      </c>
      <c r="C406" t="inlineStr">
        <is>
          <t>5</t>
        </is>
      </c>
      <c r="D406" t="n">
        <v>820</v>
      </c>
      <c r="E406" t="n">
        <v>828</v>
      </c>
      <c r="F406">
        <f>D406*(1+Inputs_State!$B$2*5)</f>
        <v/>
      </c>
      <c r="G406">
        <f>E406*(1+Inputs_State!$B$2*5)</f>
        <v/>
      </c>
    </row>
    <row r="407">
      <c r="A407" t="inlineStr">
        <is>
          <t>Pine</t>
        </is>
      </c>
      <c r="B407">
        <f>Inputs_State!$B$1</f>
        <v/>
      </c>
      <c r="C407" t="inlineStr">
        <is>
          <t>6+</t>
        </is>
      </c>
      <c r="D407" t="n">
        <v>483</v>
      </c>
      <c r="E407" t="n">
        <v>502</v>
      </c>
      <c r="F407">
        <f>D407*(1+Inputs_State!$B$2*6)</f>
        <v/>
      </c>
      <c r="G407">
        <f>E407*(1+Inputs_State!$B$2*6)</f>
        <v/>
      </c>
    </row>
    <row r="408">
      <c r="A408" t="inlineStr">
        <is>
          <t>Pipestone</t>
        </is>
      </c>
      <c r="B408">
        <f>Inputs_State!$B$1</f>
        <v/>
      </c>
      <c r="C408" t="inlineStr">
        <is>
          <t>0</t>
        </is>
      </c>
      <c r="D408" t="n">
        <v>1714</v>
      </c>
      <c r="E408" t="n">
        <v>1776</v>
      </c>
      <c r="F408">
        <f>D408*(1+Inputs_State!$B$2*0)</f>
        <v/>
      </c>
      <c r="G408">
        <f>E408*(1+Inputs_State!$B$2*0)</f>
        <v/>
      </c>
    </row>
    <row r="409">
      <c r="A409" t="inlineStr">
        <is>
          <t>Pipestone</t>
        </is>
      </c>
      <c r="B409">
        <f>Inputs_State!$B$1</f>
        <v/>
      </c>
      <c r="C409" t="inlineStr">
        <is>
          <t>1</t>
        </is>
      </c>
      <c r="D409" t="n">
        <v>3532</v>
      </c>
      <c r="E409" t="n">
        <v>3512</v>
      </c>
      <c r="F409">
        <f>D409*(1+Inputs_State!$B$2*1)</f>
        <v/>
      </c>
      <c r="G409">
        <f>E409*(1+Inputs_State!$B$2*1)</f>
        <v/>
      </c>
    </row>
    <row r="410">
      <c r="A410" t="inlineStr">
        <is>
          <t>Pipestone</t>
        </is>
      </c>
      <c r="B410">
        <f>Inputs_State!$B$1</f>
        <v/>
      </c>
      <c r="C410" t="inlineStr">
        <is>
          <t>2</t>
        </is>
      </c>
      <c r="D410" t="n">
        <v>4713</v>
      </c>
      <c r="E410" t="n">
        <v>4463</v>
      </c>
      <c r="F410">
        <f>D410*(1+Inputs_State!$B$2*2)</f>
        <v/>
      </c>
      <c r="G410">
        <f>E410*(1+Inputs_State!$B$2*2)</f>
        <v/>
      </c>
    </row>
    <row r="411">
      <c r="A411" t="inlineStr">
        <is>
          <t>Pipestone</t>
        </is>
      </c>
      <c r="B411">
        <f>Inputs_State!$B$1</f>
        <v/>
      </c>
      <c r="C411" t="inlineStr">
        <is>
          <t>3</t>
        </is>
      </c>
      <c r="D411" t="n">
        <v>4487</v>
      </c>
      <c r="E411" t="n">
        <v>4368</v>
      </c>
      <c r="F411">
        <f>D411*(1+Inputs_State!$B$2*3)</f>
        <v/>
      </c>
      <c r="G411">
        <f>E411*(1+Inputs_State!$B$2*3)</f>
        <v/>
      </c>
    </row>
    <row r="412">
      <c r="A412" t="inlineStr">
        <is>
          <t>Pipestone</t>
        </is>
      </c>
      <c r="B412">
        <f>Inputs_State!$B$1</f>
        <v/>
      </c>
      <c r="C412" t="inlineStr">
        <is>
          <t>4</t>
        </is>
      </c>
      <c r="D412" t="n">
        <v>3513</v>
      </c>
      <c r="E412" t="n">
        <v>3499</v>
      </c>
      <c r="F412">
        <f>D412*(1+Inputs_State!$B$2*4)</f>
        <v/>
      </c>
      <c r="G412">
        <f>E412*(1+Inputs_State!$B$2*4)</f>
        <v/>
      </c>
    </row>
    <row r="413">
      <c r="A413" t="inlineStr">
        <is>
          <t>Pipestone</t>
        </is>
      </c>
      <c r="B413">
        <f>Inputs_State!$B$1</f>
        <v/>
      </c>
      <c r="C413" t="inlineStr">
        <is>
          <t>5</t>
        </is>
      </c>
      <c r="D413" t="n">
        <v>2662</v>
      </c>
      <c r="E413" t="n">
        <v>2659</v>
      </c>
      <c r="F413">
        <f>D413*(1+Inputs_State!$B$2*5)</f>
        <v/>
      </c>
      <c r="G413">
        <f>E413*(1+Inputs_State!$B$2*5)</f>
        <v/>
      </c>
    </row>
    <row r="414">
      <c r="A414" t="inlineStr">
        <is>
          <t>Pipestone</t>
        </is>
      </c>
      <c r="B414">
        <f>Inputs_State!$B$1</f>
        <v/>
      </c>
      <c r="C414" t="inlineStr">
        <is>
          <t>6+</t>
        </is>
      </c>
      <c r="D414" t="n">
        <v>1556</v>
      </c>
      <c r="E414" t="n">
        <v>1506</v>
      </c>
      <c r="F414">
        <f>D414*(1+Inputs_State!$B$2*6)</f>
        <v/>
      </c>
      <c r="G414">
        <f>E414*(1+Inputs_State!$B$2*6)</f>
        <v/>
      </c>
    </row>
    <row r="415">
      <c r="A415" t="inlineStr">
        <is>
          <t>Polk</t>
        </is>
      </c>
      <c r="B415">
        <f>Inputs_State!$B$1</f>
        <v/>
      </c>
      <c r="C415" t="inlineStr">
        <is>
          <t>0</t>
        </is>
      </c>
      <c r="D415" t="n">
        <v>2766</v>
      </c>
      <c r="E415" t="n">
        <v>2573</v>
      </c>
      <c r="F415">
        <f>D415*(1+Inputs_State!$B$2*0)</f>
        <v/>
      </c>
      <c r="G415">
        <f>E415*(1+Inputs_State!$B$2*0)</f>
        <v/>
      </c>
    </row>
    <row r="416">
      <c r="A416" t="inlineStr">
        <is>
          <t>Polk</t>
        </is>
      </c>
      <c r="B416">
        <f>Inputs_State!$B$1</f>
        <v/>
      </c>
      <c r="C416" t="inlineStr">
        <is>
          <t>1</t>
        </is>
      </c>
      <c r="D416" t="n">
        <v>5414</v>
      </c>
      <c r="E416" t="n">
        <v>4993</v>
      </c>
      <c r="F416">
        <f>D416*(1+Inputs_State!$B$2*1)</f>
        <v/>
      </c>
      <c r="G416">
        <f>E416*(1+Inputs_State!$B$2*1)</f>
        <v/>
      </c>
    </row>
    <row r="417">
      <c r="A417" t="inlineStr">
        <is>
          <t>Polk</t>
        </is>
      </c>
      <c r="B417">
        <f>Inputs_State!$B$1</f>
        <v/>
      </c>
      <c r="C417" t="inlineStr">
        <is>
          <t>2</t>
        </is>
      </c>
      <c r="D417" t="n">
        <v>7177</v>
      </c>
      <c r="E417" t="n">
        <v>6530</v>
      </c>
      <c r="F417">
        <f>D417*(1+Inputs_State!$B$2*2)</f>
        <v/>
      </c>
      <c r="G417">
        <f>E417*(1+Inputs_State!$B$2*2)</f>
        <v/>
      </c>
    </row>
    <row r="418">
      <c r="A418" t="inlineStr">
        <is>
          <t>Polk</t>
        </is>
      </c>
      <c r="B418">
        <f>Inputs_State!$B$1</f>
        <v/>
      </c>
      <c r="C418" t="inlineStr">
        <is>
          <t>3</t>
        </is>
      </c>
      <c r="D418" t="n">
        <v>6613</v>
      </c>
      <c r="E418" t="n">
        <v>6272</v>
      </c>
      <c r="F418">
        <f>D418*(1+Inputs_State!$B$2*3)</f>
        <v/>
      </c>
      <c r="G418">
        <f>E418*(1+Inputs_State!$B$2*3)</f>
        <v/>
      </c>
    </row>
    <row r="419">
      <c r="A419" t="inlineStr">
        <is>
          <t>Polk</t>
        </is>
      </c>
      <c r="B419">
        <f>Inputs_State!$B$1</f>
        <v/>
      </c>
      <c r="C419" t="inlineStr">
        <is>
          <t>4</t>
        </is>
      </c>
      <c r="D419" t="n">
        <v>5320</v>
      </c>
      <c r="E419" t="n">
        <v>5028</v>
      </c>
      <c r="F419">
        <f>D419*(1+Inputs_State!$B$2*4)</f>
        <v/>
      </c>
      <c r="G419">
        <f>E419*(1+Inputs_State!$B$2*4)</f>
        <v/>
      </c>
    </row>
    <row r="420">
      <c r="A420" t="inlineStr">
        <is>
          <t>Polk</t>
        </is>
      </c>
      <c r="B420">
        <f>Inputs_State!$B$1</f>
        <v/>
      </c>
      <c r="C420" t="inlineStr">
        <is>
          <t>5</t>
        </is>
      </c>
      <c r="D420" t="n">
        <v>4030</v>
      </c>
      <c r="E420" t="n">
        <v>3813</v>
      </c>
      <c r="F420">
        <f>D420*(1+Inputs_State!$B$2*5)</f>
        <v/>
      </c>
      <c r="G420">
        <f>E420*(1+Inputs_State!$B$2*5)</f>
        <v/>
      </c>
    </row>
    <row r="421">
      <c r="A421" t="inlineStr">
        <is>
          <t>Polk</t>
        </is>
      </c>
      <c r="B421">
        <f>Inputs_State!$B$1</f>
        <v/>
      </c>
      <c r="C421" t="inlineStr">
        <is>
          <t>6+</t>
        </is>
      </c>
      <c r="D421" t="n">
        <v>2269</v>
      </c>
      <c r="E421" t="n">
        <v>2236</v>
      </c>
      <c r="F421">
        <f>D421*(1+Inputs_State!$B$2*6)</f>
        <v/>
      </c>
      <c r="G421">
        <f>E421*(1+Inputs_State!$B$2*6)</f>
        <v/>
      </c>
    </row>
    <row r="422">
      <c r="A422" t="inlineStr">
        <is>
          <t>Pope</t>
        </is>
      </c>
      <c r="B422">
        <f>Inputs_State!$B$1</f>
        <v/>
      </c>
      <c r="C422" t="inlineStr">
        <is>
          <t>0</t>
        </is>
      </c>
      <c r="D422" t="n">
        <v>2045</v>
      </c>
      <c r="E422" t="n">
        <v>1795</v>
      </c>
      <c r="F422">
        <f>D422*(1+Inputs_State!$B$2*0)</f>
        <v/>
      </c>
      <c r="G422">
        <f>E422*(1+Inputs_State!$B$2*0)</f>
        <v/>
      </c>
    </row>
    <row r="423">
      <c r="A423" t="inlineStr">
        <is>
          <t>Pope</t>
        </is>
      </c>
      <c r="B423">
        <f>Inputs_State!$B$1</f>
        <v/>
      </c>
      <c r="C423" t="inlineStr">
        <is>
          <t>1</t>
        </is>
      </c>
      <c r="D423" t="n">
        <v>4159</v>
      </c>
      <c r="E423" t="n">
        <v>3683</v>
      </c>
      <c r="F423">
        <f>D423*(1+Inputs_State!$B$2*1)</f>
        <v/>
      </c>
      <c r="G423">
        <f>E423*(1+Inputs_State!$B$2*1)</f>
        <v/>
      </c>
    </row>
    <row r="424">
      <c r="A424" t="inlineStr">
        <is>
          <t>Pope</t>
        </is>
      </c>
      <c r="B424">
        <f>Inputs_State!$B$1</f>
        <v/>
      </c>
      <c r="C424" t="inlineStr">
        <is>
          <t>2</t>
        </is>
      </c>
      <c r="D424" t="n">
        <v>5171</v>
      </c>
      <c r="E424" t="n">
        <v>4881</v>
      </c>
      <c r="F424">
        <f>D424*(1+Inputs_State!$B$2*2)</f>
        <v/>
      </c>
      <c r="G424">
        <f>E424*(1+Inputs_State!$B$2*2)</f>
        <v/>
      </c>
    </row>
    <row r="425">
      <c r="A425" t="inlineStr">
        <is>
          <t>Pope</t>
        </is>
      </c>
      <c r="B425">
        <f>Inputs_State!$B$1</f>
        <v/>
      </c>
      <c r="C425" t="inlineStr">
        <is>
          <t>3</t>
        </is>
      </c>
      <c r="D425" t="n">
        <v>4958</v>
      </c>
      <c r="E425" t="n">
        <v>4554</v>
      </c>
      <c r="F425">
        <f>D425*(1+Inputs_State!$B$2*3)</f>
        <v/>
      </c>
      <c r="G425">
        <f>E425*(1+Inputs_State!$B$2*3)</f>
        <v/>
      </c>
    </row>
    <row r="426">
      <c r="A426" t="inlineStr">
        <is>
          <t>Pope</t>
        </is>
      </c>
      <c r="B426">
        <f>Inputs_State!$B$1</f>
        <v/>
      </c>
      <c r="C426" t="inlineStr">
        <is>
          <t>4</t>
        </is>
      </c>
      <c r="D426" t="n">
        <v>4031</v>
      </c>
      <c r="E426" t="n">
        <v>3806</v>
      </c>
      <c r="F426">
        <f>D426*(1+Inputs_State!$B$2*4)</f>
        <v/>
      </c>
      <c r="G426">
        <f>E426*(1+Inputs_State!$B$2*4)</f>
        <v/>
      </c>
    </row>
    <row r="427">
      <c r="A427" t="inlineStr">
        <is>
          <t>Pope</t>
        </is>
      </c>
      <c r="B427">
        <f>Inputs_State!$B$1</f>
        <v/>
      </c>
      <c r="C427" t="inlineStr">
        <is>
          <t>5</t>
        </is>
      </c>
      <c r="D427" t="n">
        <v>3058</v>
      </c>
      <c r="E427" t="n">
        <v>2791</v>
      </c>
      <c r="F427">
        <f>D427*(1+Inputs_State!$B$2*5)</f>
        <v/>
      </c>
      <c r="G427">
        <f>E427*(1+Inputs_State!$B$2*5)</f>
        <v/>
      </c>
    </row>
    <row r="428">
      <c r="A428" t="inlineStr">
        <is>
          <t>Pope</t>
        </is>
      </c>
      <c r="B428">
        <f>Inputs_State!$B$1</f>
        <v/>
      </c>
      <c r="C428" t="inlineStr">
        <is>
          <t>6+</t>
        </is>
      </c>
      <c r="D428" t="n">
        <v>1809</v>
      </c>
      <c r="E428" t="n">
        <v>1637</v>
      </c>
      <c r="F428">
        <f>D428*(1+Inputs_State!$B$2*6)</f>
        <v/>
      </c>
      <c r="G428">
        <f>E428*(1+Inputs_State!$B$2*6)</f>
        <v/>
      </c>
    </row>
    <row r="429">
      <c r="A429" t="inlineStr">
        <is>
          <t>Ramsey</t>
        </is>
      </c>
      <c r="B429">
        <f>Inputs_State!$B$1</f>
        <v/>
      </c>
      <c r="C429" t="inlineStr">
        <is>
          <t>0</t>
        </is>
      </c>
      <c r="D429" t="n">
        <v>6705</v>
      </c>
      <c r="E429" t="n">
        <v>6397</v>
      </c>
      <c r="F429">
        <f>D429*(1+Inputs_State!$B$2*0)</f>
        <v/>
      </c>
      <c r="G429">
        <f>E429*(1+Inputs_State!$B$2*0)</f>
        <v/>
      </c>
    </row>
    <row r="430">
      <c r="A430" t="inlineStr">
        <is>
          <t>Ramsey</t>
        </is>
      </c>
      <c r="B430">
        <f>Inputs_State!$B$1</f>
        <v/>
      </c>
      <c r="C430" t="inlineStr">
        <is>
          <t>1</t>
        </is>
      </c>
      <c r="D430" t="n">
        <v>13597</v>
      </c>
      <c r="E430" t="n">
        <v>12799</v>
      </c>
      <c r="F430">
        <f>D430*(1+Inputs_State!$B$2*1)</f>
        <v/>
      </c>
      <c r="G430">
        <f>E430*(1+Inputs_State!$B$2*1)</f>
        <v/>
      </c>
    </row>
    <row r="431">
      <c r="A431" t="inlineStr">
        <is>
          <t>Ramsey</t>
        </is>
      </c>
      <c r="B431">
        <f>Inputs_State!$B$1</f>
        <v/>
      </c>
      <c r="C431" t="inlineStr">
        <is>
          <t>2</t>
        </is>
      </c>
      <c r="D431" t="n">
        <v>17810</v>
      </c>
      <c r="E431" t="n">
        <v>16839</v>
      </c>
      <c r="F431">
        <f>D431*(1+Inputs_State!$B$2*2)</f>
        <v/>
      </c>
      <c r="G431">
        <f>E431*(1+Inputs_State!$B$2*2)</f>
        <v/>
      </c>
    </row>
    <row r="432">
      <c r="A432" t="inlineStr">
        <is>
          <t>Ramsey</t>
        </is>
      </c>
      <c r="B432">
        <f>Inputs_State!$B$1</f>
        <v/>
      </c>
      <c r="C432" t="inlineStr">
        <is>
          <t>3</t>
        </is>
      </c>
      <c r="D432" t="n">
        <v>16803</v>
      </c>
      <c r="E432" t="n">
        <v>16206</v>
      </c>
      <c r="F432">
        <f>D432*(1+Inputs_State!$B$2*3)</f>
        <v/>
      </c>
      <c r="G432">
        <f>E432*(1+Inputs_State!$B$2*3)</f>
        <v/>
      </c>
    </row>
    <row r="433">
      <c r="A433" t="inlineStr">
        <is>
          <t>Ramsey</t>
        </is>
      </c>
      <c r="B433">
        <f>Inputs_State!$B$1</f>
        <v/>
      </c>
      <c r="C433" t="inlineStr">
        <is>
          <t>4</t>
        </is>
      </c>
      <c r="D433" t="n">
        <v>13263</v>
      </c>
      <c r="E433" t="n">
        <v>12833</v>
      </c>
      <c r="F433">
        <f>D433*(1+Inputs_State!$B$2*4)</f>
        <v/>
      </c>
      <c r="G433">
        <f>E433*(1+Inputs_State!$B$2*4)</f>
        <v/>
      </c>
    </row>
    <row r="434">
      <c r="A434" t="inlineStr">
        <is>
          <t>Ramsey</t>
        </is>
      </c>
      <c r="B434">
        <f>Inputs_State!$B$1</f>
        <v/>
      </c>
      <c r="C434" t="inlineStr">
        <is>
          <t>5</t>
        </is>
      </c>
      <c r="D434" t="n">
        <v>10391</v>
      </c>
      <c r="E434" t="n">
        <v>9791</v>
      </c>
      <c r="F434">
        <f>D434*(1+Inputs_State!$B$2*5)</f>
        <v/>
      </c>
      <c r="G434">
        <f>E434*(1+Inputs_State!$B$2*5)</f>
        <v/>
      </c>
    </row>
    <row r="435">
      <c r="A435" t="inlineStr">
        <is>
          <t>Ramsey</t>
        </is>
      </c>
      <c r="B435">
        <f>Inputs_State!$B$1</f>
        <v/>
      </c>
      <c r="C435" t="inlineStr">
        <is>
          <t>6+</t>
        </is>
      </c>
      <c r="D435" t="n">
        <v>5815</v>
      </c>
      <c r="E435" t="n">
        <v>5720</v>
      </c>
      <c r="F435">
        <f>D435*(1+Inputs_State!$B$2*6)</f>
        <v/>
      </c>
      <c r="G435">
        <f>E435*(1+Inputs_State!$B$2*6)</f>
        <v/>
      </c>
    </row>
    <row r="436">
      <c r="A436" t="inlineStr">
        <is>
          <t>Red Lake</t>
        </is>
      </c>
      <c r="B436">
        <f>Inputs_State!$B$1</f>
        <v/>
      </c>
      <c r="C436" t="inlineStr">
        <is>
          <t>0</t>
        </is>
      </c>
      <c r="D436" t="n">
        <v>1877</v>
      </c>
      <c r="E436" t="n">
        <v>2003</v>
      </c>
      <c r="F436">
        <f>D436*(1+Inputs_State!$B$2*0)</f>
        <v/>
      </c>
      <c r="G436">
        <f>E436*(1+Inputs_State!$B$2*0)</f>
        <v/>
      </c>
    </row>
    <row r="437">
      <c r="A437" t="inlineStr">
        <is>
          <t>Red Lake</t>
        </is>
      </c>
      <c r="B437">
        <f>Inputs_State!$B$1</f>
        <v/>
      </c>
      <c r="C437" t="inlineStr">
        <is>
          <t>1</t>
        </is>
      </c>
      <c r="D437" t="n">
        <v>4034</v>
      </c>
      <c r="E437" t="n">
        <v>4084</v>
      </c>
      <c r="F437">
        <f>D437*(1+Inputs_State!$B$2*1)</f>
        <v/>
      </c>
      <c r="G437">
        <f>E437*(1+Inputs_State!$B$2*1)</f>
        <v/>
      </c>
    </row>
    <row r="438">
      <c r="A438" t="inlineStr">
        <is>
          <t>Red Lake</t>
        </is>
      </c>
      <c r="B438">
        <f>Inputs_State!$B$1</f>
        <v/>
      </c>
      <c r="C438" t="inlineStr">
        <is>
          <t>2</t>
        </is>
      </c>
      <c r="D438" t="n">
        <v>5051</v>
      </c>
      <c r="E438" t="n">
        <v>5352</v>
      </c>
      <c r="F438">
        <f>D438*(1+Inputs_State!$B$2*2)</f>
        <v/>
      </c>
      <c r="G438">
        <f>E438*(1+Inputs_State!$B$2*2)</f>
        <v/>
      </c>
    </row>
    <row r="439">
      <c r="A439" t="inlineStr">
        <is>
          <t>Red Lake</t>
        </is>
      </c>
      <c r="B439">
        <f>Inputs_State!$B$1</f>
        <v/>
      </c>
      <c r="C439" t="inlineStr">
        <is>
          <t>3</t>
        </is>
      </c>
      <c r="D439" t="n">
        <v>4835</v>
      </c>
      <c r="E439" t="n">
        <v>5006</v>
      </c>
      <c r="F439">
        <f>D439*(1+Inputs_State!$B$2*3)</f>
        <v/>
      </c>
      <c r="G439">
        <f>E439*(1+Inputs_State!$B$2*3)</f>
        <v/>
      </c>
    </row>
    <row r="440">
      <c r="A440" t="inlineStr">
        <is>
          <t>Red Lake</t>
        </is>
      </c>
      <c r="B440">
        <f>Inputs_State!$B$1</f>
        <v/>
      </c>
      <c r="C440" t="inlineStr">
        <is>
          <t>4</t>
        </is>
      </c>
      <c r="D440" t="n">
        <v>3907</v>
      </c>
      <c r="E440" t="n">
        <v>3992</v>
      </c>
      <c r="F440">
        <f>D440*(1+Inputs_State!$B$2*4)</f>
        <v/>
      </c>
      <c r="G440">
        <f>E440*(1+Inputs_State!$B$2*4)</f>
        <v/>
      </c>
    </row>
    <row r="441">
      <c r="A441" t="inlineStr">
        <is>
          <t>Red Lake</t>
        </is>
      </c>
      <c r="B441">
        <f>Inputs_State!$B$1</f>
        <v/>
      </c>
      <c r="C441" t="inlineStr">
        <is>
          <t>5</t>
        </is>
      </c>
      <c r="D441" t="n">
        <v>2835</v>
      </c>
      <c r="E441" t="n">
        <v>3039</v>
      </c>
      <c r="F441">
        <f>D441*(1+Inputs_State!$B$2*5)</f>
        <v/>
      </c>
      <c r="G441">
        <f>E441*(1+Inputs_State!$B$2*5)</f>
        <v/>
      </c>
    </row>
    <row r="442">
      <c r="A442" t="inlineStr">
        <is>
          <t>Red Lake</t>
        </is>
      </c>
      <c r="B442">
        <f>Inputs_State!$B$1</f>
        <v/>
      </c>
      <c r="C442" t="inlineStr">
        <is>
          <t>6+</t>
        </is>
      </c>
      <c r="D442" t="n">
        <v>1621</v>
      </c>
      <c r="E442" t="n">
        <v>1672</v>
      </c>
      <c r="F442">
        <f>D442*(1+Inputs_State!$B$2*6)</f>
        <v/>
      </c>
      <c r="G442">
        <f>E442*(1+Inputs_State!$B$2*6)</f>
        <v/>
      </c>
    </row>
    <row r="443">
      <c r="A443" t="inlineStr">
        <is>
          <t>Redwood</t>
        </is>
      </c>
      <c r="B443">
        <f>Inputs_State!$B$1</f>
        <v/>
      </c>
      <c r="C443" t="inlineStr">
        <is>
          <t>0</t>
        </is>
      </c>
      <c r="D443" t="n">
        <v>1011</v>
      </c>
      <c r="E443" t="n">
        <v>976</v>
      </c>
      <c r="F443">
        <f>D443*(1+Inputs_State!$B$2*0)</f>
        <v/>
      </c>
      <c r="G443">
        <f>E443*(1+Inputs_State!$B$2*0)</f>
        <v/>
      </c>
    </row>
    <row r="444">
      <c r="A444" t="inlineStr">
        <is>
          <t>Redwood</t>
        </is>
      </c>
      <c r="B444">
        <f>Inputs_State!$B$1</f>
        <v/>
      </c>
      <c r="C444" t="inlineStr">
        <is>
          <t>1</t>
        </is>
      </c>
      <c r="D444" t="n">
        <v>2112</v>
      </c>
      <c r="E444" t="n">
        <v>1959</v>
      </c>
      <c r="F444">
        <f>D444*(1+Inputs_State!$B$2*1)</f>
        <v/>
      </c>
      <c r="G444">
        <f>E444*(1+Inputs_State!$B$2*1)</f>
        <v/>
      </c>
    </row>
    <row r="445">
      <c r="A445" t="inlineStr">
        <is>
          <t>Redwood</t>
        </is>
      </c>
      <c r="B445">
        <f>Inputs_State!$B$1</f>
        <v/>
      </c>
      <c r="C445" t="inlineStr">
        <is>
          <t>2</t>
        </is>
      </c>
      <c r="D445" t="n">
        <v>2739</v>
      </c>
      <c r="E445" t="n">
        <v>2626</v>
      </c>
      <c r="F445">
        <f>D445*(1+Inputs_State!$B$2*2)</f>
        <v/>
      </c>
      <c r="G445">
        <f>E445*(1+Inputs_State!$B$2*2)</f>
        <v/>
      </c>
    </row>
    <row r="446">
      <c r="A446" t="inlineStr">
        <is>
          <t>Redwood</t>
        </is>
      </c>
      <c r="B446">
        <f>Inputs_State!$B$1</f>
        <v/>
      </c>
      <c r="C446" t="inlineStr">
        <is>
          <t>3</t>
        </is>
      </c>
      <c r="D446" t="n">
        <v>2565</v>
      </c>
      <c r="E446" t="n">
        <v>2407</v>
      </c>
      <c r="F446">
        <f>D446*(1+Inputs_State!$B$2*3)</f>
        <v/>
      </c>
      <c r="G446">
        <f>E446*(1+Inputs_State!$B$2*3)</f>
        <v/>
      </c>
    </row>
    <row r="447">
      <c r="A447" t="inlineStr">
        <is>
          <t>Redwood</t>
        </is>
      </c>
      <c r="B447">
        <f>Inputs_State!$B$1</f>
        <v/>
      </c>
      <c r="C447" t="inlineStr">
        <is>
          <t>4</t>
        </is>
      </c>
      <c r="D447" t="n">
        <v>2181</v>
      </c>
      <c r="E447" t="n">
        <v>2030</v>
      </c>
      <c r="F447">
        <f>D447*(1+Inputs_State!$B$2*4)</f>
        <v/>
      </c>
      <c r="G447">
        <f>E447*(1+Inputs_State!$B$2*4)</f>
        <v/>
      </c>
    </row>
    <row r="448">
      <c r="A448" t="inlineStr">
        <is>
          <t>Redwood</t>
        </is>
      </c>
      <c r="B448">
        <f>Inputs_State!$B$1</f>
        <v/>
      </c>
      <c r="C448" t="inlineStr">
        <is>
          <t>5</t>
        </is>
      </c>
      <c r="D448" t="n">
        <v>1595</v>
      </c>
      <c r="E448" t="n">
        <v>1478</v>
      </c>
      <c r="F448">
        <f>D448*(1+Inputs_State!$B$2*5)</f>
        <v/>
      </c>
      <c r="G448">
        <f>E448*(1+Inputs_State!$B$2*5)</f>
        <v/>
      </c>
    </row>
    <row r="449">
      <c r="A449" t="inlineStr">
        <is>
          <t>Redwood</t>
        </is>
      </c>
      <c r="B449">
        <f>Inputs_State!$B$1</f>
        <v/>
      </c>
      <c r="C449" t="inlineStr">
        <is>
          <t>6+</t>
        </is>
      </c>
      <c r="D449" t="n">
        <v>913</v>
      </c>
      <c r="E449" t="n">
        <v>870</v>
      </c>
      <c r="F449">
        <f>D449*(1+Inputs_State!$B$2*6)</f>
        <v/>
      </c>
      <c r="G449">
        <f>E449*(1+Inputs_State!$B$2*6)</f>
        <v/>
      </c>
    </row>
    <row r="450">
      <c r="A450" t="inlineStr">
        <is>
          <t>Renville</t>
        </is>
      </c>
      <c r="B450">
        <f>Inputs_State!$B$1</f>
        <v/>
      </c>
      <c r="C450" t="inlineStr">
        <is>
          <t>0</t>
        </is>
      </c>
      <c r="D450" t="n">
        <v>1069</v>
      </c>
      <c r="E450" t="n">
        <v>1165</v>
      </c>
      <c r="F450">
        <f>D450*(1+Inputs_State!$B$2*0)</f>
        <v/>
      </c>
      <c r="G450">
        <f>E450*(1+Inputs_State!$B$2*0)</f>
        <v/>
      </c>
    </row>
    <row r="451">
      <c r="A451" t="inlineStr">
        <is>
          <t>Renville</t>
        </is>
      </c>
      <c r="B451">
        <f>Inputs_State!$B$1</f>
        <v/>
      </c>
      <c r="C451" t="inlineStr">
        <is>
          <t>1</t>
        </is>
      </c>
      <c r="D451" t="n">
        <v>2107</v>
      </c>
      <c r="E451" t="n">
        <v>2076</v>
      </c>
      <c r="F451">
        <f>D451*(1+Inputs_State!$B$2*1)</f>
        <v/>
      </c>
      <c r="G451">
        <f>E451*(1+Inputs_State!$B$2*1)</f>
        <v/>
      </c>
    </row>
    <row r="452">
      <c r="A452" t="inlineStr">
        <is>
          <t>Renville</t>
        </is>
      </c>
      <c r="B452">
        <f>Inputs_State!$B$1</f>
        <v/>
      </c>
      <c r="C452" t="inlineStr">
        <is>
          <t>2</t>
        </is>
      </c>
      <c r="D452" t="n">
        <v>2733</v>
      </c>
      <c r="E452" t="n">
        <v>2850</v>
      </c>
      <c r="F452">
        <f>D452*(1+Inputs_State!$B$2*2)</f>
        <v/>
      </c>
      <c r="G452">
        <f>E452*(1+Inputs_State!$B$2*2)</f>
        <v/>
      </c>
    </row>
    <row r="453">
      <c r="A453" t="inlineStr">
        <is>
          <t>Renville</t>
        </is>
      </c>
      <c r="B453">
        <f>Inputs_State!$B$1</f>
        <v/>
      </c>
      <c r="C453" t="inlineStr">
        <is>
          <t>3</t>
        </is>
      </c>
      <c r="D453" t="n">
        <v>2720</v>
      </c>
      <c r="E453" t="n">
        <v>2745</v>
      </c>
      <c r="F453">
        <f>D453*(1+Inputs_State!$B$2*3)</f>
        <v/>
      </c>
      <c r="G453">
        <f>E453*(1+Inputs_State!$B$2*3)</f>
        <v/>
      </c>
    </row>
    <row r="454">
      <c r="A454" t="inlineStr">
        <is>
          <t>Renville</t>
        </is>
      </c>
      <c r="B454">
        <f>Inputs_State!$B$1</f>
        <v/>
      </c>
      <c r="C454" t="inlineStr">
        <is>
          <t>4</t>
        </is>
      </c>
      <c r="D454" t="n">
        <v>2086</v>
      </c>
      <c r="E454" t="n">
        <v>2197</v>
      </c>
      <c r="F454">
        <f>D454*(1+Inputs_State!$B$2*4)</f>
        <v/>
      </c>
      <c r="G454">
        <f>E454*(1+Inputs_State!$B$2*4)</f>
        <v/>
      </c>
    </row>
    <row r="455">
      <c r="A455" t="inlineStr">
        <is>
          <t>Renville</t>
        </is>
      </c>
      <c r="B455">
        <f>Inputs_State!$B$1</f>
        <v/>
      </c>
      <c r="C455" t="inlineStr">
        <is>
          <t>5</t>
        </is>
      </c>
      <c r="D455" t="n">
        <v>1657</v>
      </c>
      <c r="E455" t="n">
        <v>1690</v>
      </c>
      <c r="F455">
        <f>D455*(1+Inputs_State!$B$2*5)</f>
        <v/>
      </c>
      <c r="G455">
        <f>E455*(1+Inputs_State!$B$2*5)</f>
        <v/>
      </c>
    </row>
    <row r="456">
      <c r="A456" t="inlineStr">
        <is>
          <t>Renville</t>
        </is>
      </c>
      <c r="B456">
        <f>Inputs_State!$B$1</f>
        <v/>
      </c>
      <c r="C456" t="inlineStr">
        <is>
          <t>6+</t>
        </is>
      </c>
      <c r="D456" t="n">
        <v>898</v>
      </c>
      <c r="E456" t="n">
        <v>976</v>
      </c>
      <c r="F456">
        <f>D456*(1+Inputs_State!$B$2*6)</f>
        <v/>
      </c>
      <c r="G456">
        <f>E456*(1+Inputs_State!$B$2*6)</f>
        <v/>
      </c>
    </row>
    <row r="457">
      <c r="A457" t="inlineStr">
        <is>
          <t>Rice</t>
        </is>
      </c>
      <c r="B457">
        <f>Inputs_State!$B$1</f>
        <v/>
      </c>
      <c r="C457" t="inlineStr">
        <is>
          <t>0</t>
        </is>
      </c>
      <c r="D457" t="n">
        <v>5658</v>
      </c>
      <c r="E457" t="n">
        <v>5186</v>
      </c>
      <c r="F457">
        <f>D457*(1+Inputs_State!$B$2*0)</f>
        <v/>
      </c>
      <c r="G457">
        <f>E457*(1+Inputs_State!$B$2*0)</f>
        <v/>
      </c>
    </row>
    <row r="458">
      <c r="A458" t="inlineStr">
        <is>
          <t>Rice</t>
        </is>
      </c>
      <c r="B458">
        <f>Inputs_State!$B$1</f>
        <v/>
      </c>
      <c r="C458" t="inlineStr">
        <is>
          <t>1</t>
        </is>
      </c>
      <c r="D458" t="n">
        <v>11512</v>
      </c>
      <c r="E458" t="n">
        <v>10375</v>
      </c>
      <c r="F458">
        <f>D458*(1+Inputs_State!$B$2*1)</f>
        <v/>
      </c>
      <c r="G458">
        <f>E458*(1+Inputs_State!$B$2*1)</f>
        <v/>
      </c>
    </row>
    <row r="459">
      <c r="A459" t="inlineStr">
        <is>
          <t>Rice</t>
        </is>
      </c>
      <c r="B459">
        <f>Inputs_State!$B$1</f>
        <v/>
      </c>
      <c r="C459" t="inlineStr">
        <is>
          <t>2</t>
        </is>
      </c>
      <c r="D459" t="n">
        <v>14836</v>
      </c>
      <c r="E459" t="n">
        <v>13674</v>
      </c>
      <c r="F459">
        <f>D459*(1+Inputs_State!$B$2*2)</f>
        <v/>
      </c>
      <c r="G459">
        <f>E459*(1+Inputs_State!$B$2*2)</f>
        <v/>
      </c>
    </row>
    <row r="460">
      <c r="A460" t="inlineStr">
        <is>
          <t>Rice</t>
        </is>
      </c>
      <c r="B460">
        <f>Inputs_State!$B$1</f>
        <v/>
      </c>
      <c r="C460" t="inlineStr">
        <is>
          <t>3</t>
        </is>
      </c>
      <c r="D460" t="n">
        <v>14142</v>
      </c>
      <c r="E460" t="n">
        <v>12874</v>
      </c>
      <c r="F460">
        <f>D460*(1+Inputs_State!$B$2*3)</f>
        <v/>
      </c>
      <c r="G460">
        <f>E460*(1+Inputs_State!$B$2*3)</f>
        <v/>
      </c>
    </row>
    <row r="461">
      <c r="A461" t="inlineStr">
        <is>
          <t>Rice</t>
        </is>
      </c>
      <c r="B461">
        <f>Inputs_State!$B$1</f>
        <v/>
      </c>
      <c r="C461" t="inlineStr">
        <is>
          <t>4</t>
        </is>
      </c>
      <c r="D461" t="n">
        <v>11217</v>
      </c>
      <c r="E461" t="n">
        <v>10318</v>
      </c>
      <c r="F461">
        <f>D461*(1+Inputs_State!$B$2*4)</f>
        <v/>
      </c>
      <c r="G461">
        <f>E461*(1+Inputs_State!$B$2*4)</f>
        <v/>
      </c>
    </row>
    <row r="462">
      <c r="A462" t="inlineStr">
        <is>
          <t>Rice</t>
        </is>
      </c>
      <c r="B462">
        <f>Inputs_State!$B$1</f>
        <v/>
      </c>
      <c r="C462" t="inlineStr">
        <is>
          <t>5</t>
        </is>
      </c>
      <c r="D462" t="n">
        <v>8400</v>
      </c>
      <c r="E462" t="n">
        <v>7857</v>
      </c>
      <c r="F462">
        <f>D462*(1+Inputs_State!$B$2*5)</f>
        <v/>
      </c>
      <c r="G462">
        <f>E462*(1+Inputs_State!$B$2*5)</f>
        <v/>
      </c>
    </row>
    <row r="463">
      <c r="A463" t="inlineStr">
        <is>
          <t>Rice</t>
        </is>
      </c>
      <c r="B463">
        <f>Inputs_State!$B$1</f>
        <v/>
      </c>
      <c r="C463" t="inlineStr">
        <is>
          <t>6+</t>
        </is>
      </c>
      <c r="D463" t="n">
        <v>5033</v>
      </c>
      <c r="E463" t="n">
        <v>4585</v>
      </c>
      <c r="F463">
        <f>D463*(1+Inputs_State!$B$2*6)</f>
        <v/>
      </c>
      <c r="G463">
        <f>E463*(1+Inputs_State!$B$2*6)</f>
        <v/>
      </c>
    </row>
    <row r="464">
      <c r="A464" t="inlineStr">
        <is>
          <t>Rock</t>
        </is>
      </c>
      <c r="B464">
        <f>Inputs_State!$B$1</f>
        <v/>
      </c>
      <c r="C464" t="inlineStr">
        <is>
          <t>0</t>
        </is>
      </c>
      <c r="D464" t="n">
        <v>1213</v>
      </c>
      <c r="E464" t="n">
        <v>1259</v>
      </c>
      <c r="F464">
        <f>D464*(1+Inputs_State!$B$2*0)</f>
        <v/>
      </c>
      <c r="G464">
        <f>E464*(1+Inputs_State!$B$2*0)</f>
        <v/>
      </c>
    </row>
    <row r="465">
      <c r="A465" t="inlineStr">
        <is>
          <t>Rock</t>
        </is>
      </c>
      <c r="B465">
        <f>Inputs_State!$B$1</f>
        <v/>
      </c>
      <c r="C465" t="inlineStr">
        <is>
          <t>1</t>
        </is>
      </c>
      <c r="D465" t="n">
        <v>2407</v>
      </c>
      <c r="E465" t="n">
        <v>2509</v>
      </c>
      <c r="F465">
        <f>D465*(1+Inputs_State!$B$2*1)</f>
        <v/>
      </c>
      <c r="G465">
        <f>E465*(1+Inputs_State!$B$2*1)</f>
        <v/>
      </c>
    </row>
    <row r="466">
      <c r="A466" t="inlineStr">
        <is>
          <t>Rock</t>
        </is>
      </c>
      <c r="B466">
        <f>Inputs_State!$B$1</f>
        <v/>
      </c>
      <c r="C466" t="inlineStr">
        <is>
          <t>2</t>
        </is>
      </c>
      <c r="D466" t="n">
        <v>3185</v>
      </c>
      <c r="E466" t="n">
        <v>3309</v>
      </c>
      <c r="F466">
        <f>D466*(1+Inputs_State!$B$2*2)</f>
        <v/>
      </c>
      <c r="G466">
        <f>E466*(1+Inputs_State!$B$2*2)</f>
        <v/>
      </c>
    </row>
    <row r="467">
      <c r="A467" t="inlineStr">
        <is>
          <t>Rock</t>
        </is>
      </c>
      <c r="B467">
        <f>Inputs_State!$B$1</f>
        <v/>
      </c>
      <c r="C467" t="inlineStr">
        <is>
          <t>3</t>
        </is>
      </c>
      <c r="D467" t="n">
        <v>2905</v>
      </c>
      <c r="E467" t="n">
        <v>3024</v>
      </c>
      <c r="F467">
        <f>D467*(1+Inputs_State!$B$2*3)</f>
        <v/>
      </c>
      <c r="G467">
        <f>E467*(1+Inputs_State!$B$2*3)</f>
        <v/>
      </c>
    </row>
    <row r="468">
      <c r="A468" t="inlineStr">
        <is>
          <t>Rock</t>
        </is>
      </c>
      <c r="B468">
        <f>Inputs_State!$B$1</f>
        <v/>
      </c>
      <c r="C468" t="inlineStr">
        <is>
          <t>4</t>
        </is>
      </c>
      <c r="D468" t="n">
        <v>2394</v>
      </c>
      <c r="E468" t="n">
        <v>2493</v>
      </c>
      <c r="F468">
        <f>D468*(1+Inputs_State!$B$2*4)</f>
        <v/>
      </c>
      <c r="G468">
        <f>E468*(1+Inputs_State!$B$2*4)</f>
        <v/>
      </c>
    </row>
    <row r="469">
      <c r="A469" t="inlineStr">
        <is>
          <t>Rock</t>
        </is>
      </c>
      <c r="B469">
        <f>Inputs_State!$B$1</f>
        <v/>
      </c>
      <c r="C469" t="inlineStr">
        <is>
          <t>5</t>
        </is>
      </c>
      <c r="D469" t="n">
        <v>1784</v>
      </c>
      <c r="E469" t="n">
        <v>1883</v>
      </c>
      <c r="F469">
        <f>D469*(1+Inputs_State!$B$2*5)</f>
        <v/>
      </c>
      <c r="G469">
        <f>E469*(1+Inputs_State!$B$2*5)</f>
        <v/>
      </c>
    </row>
    <row r="470">
      <c r="A470" t="inlineStr">
        <is>
          <t>Rock</t>
        </is>
      </c>
      <c r="B470">
        <f>Inputs_State!$B$1</f>
        <v/>
      </c>
      <c r="C470" t="inlineStr">
        <is>
          <t>6+</t>
        </is>
      </c>
      <c r="D470" t="n">
        <v>1137</v>
      </c>
      <c r="E470" t="n">
        <v>1140</v>
      </c>
      <c r="F470">
        <f>D470*(1+Inputs_State!$B$2*6)</f>
        <v/>
      </c>
      <c r="G470">
        <f>E470*(1+Inputs_State!$B$2*6)</f>
        <v/>
      </c>
    </row>
    <row r="471">
      <c r="A471" t="inlineStr">
        <is>
          <t>Roseau</t>
        </is>
      </c>
      <c r="B471">
        <f>Inputs_State!$B$1</f>
        <v/>
      </c>
      <c r="C471" t="inlineStr">
        <is>
          <t>0</t>
        </is>
      </c>
      <c r="D471" t="n">
        <v>1349</v>
      </c>
      <c r="E471" t="n">
        <v>1288</v>
      </c>
      <c r="F471">
        <f>D471*(1+Inputs_State!$B$2*0)</f>
        <v/>
      </c>
      <c r="G471">
        <f>E471*(1+Inputs_State!$B$2*0)</f>
        <v/>
      </c>
    </row>
    <row r="472">
      <c r="A472" t="inlineStr">
        <is>
          <t>Roseau</t>
        </is>
      </c>
      <c r="B472">
        <f>Inputs_State!$B$1</f>
        <v/>
      </c>
      <c r="C472" t="inlineStr">
        <is>
          <t>1</t>
        </is>
      </c>
      <c r="D472" t="n">
        <v>2550</v>
      </c>
      <c r="E472" t="n">
        <v>2536</v>
      </c>
      <c r="F472">
        <f>D472*(1+Inputs_State!$B$2*1)</f>
        <v/>
      </c>
      <c r="G472">
        <f>E472*(1+Inputs_State!$B$2*1)</f>
        <v/>
      </c>
    </row>
    <row r="473">
      <c r="A473" t="inlineStr">
        <is>
          <t>Roseau</t>
        </is>
      </c>
      <c r="B473">
        <f>Inputs_State!$B$1</f>
        <v/>
      </c>
      <c r="C473" t="inlineStr">
        <is>
          <t>2</t>
        </is>
      </c>
      <c r="D473" t="n">
        <v>3391</v>
      </c>
      <c r="E473" t="n">
        <v>3363</v>
      </c>
      <c r="F473">
        <f>D473*(1+Inputs_State!$B$2*2)</f>
        <v/>
      </c>
      <c r="G473">
        <f>E473*(1+Inputs_State!$B$2*2)</f>
        <v/>
      </c>
    </row>
    <row r="474">
      <c r="A474" t="inlineStr">
        <is>
          <t>Roseau</t>
        </is>
      </c>
      <c r="B474">
        <f>Inputs_State!$B$1</f>
        <v/>
      </c>
      <c r="C474" t="inlineStr">
        <is>
          <t>3</t>
        </is>
      </c>
      <c r="D474" t="n">
        <v>3138</v>
      </c>
      <c r="E474" t="n">
        <v>3299</v>
      </c>
      <c r="F474">
        <f>D474*(1+Inputs_State!$B$2*3)</f>
        <v/>
      </c>
      <c r="G474">
        <f>E474*(1+Inputs_State!$B$2*3)</f>
        <v/>
      </c>
    </row>
    <row r="475">
      <c r="A475" t="inlineStr">
        <is>
          <t>Roseau</t>
        </is>
      </c>
      <c r="B475">
        <f>Inputs_State!$B$1</f>
        <v/>
      </c>
      <c r="C475" t="inlineStr">
        <is>
          <t>4</t>
        </is>
      </c>
      <c r="D475" t="n">
        <v>2615</v>
      </c>
      <c r="E475" t="n">
        <v>2553</v>
      </c>
      <c r="F475">
        <f>D475*(1+Inputs_State!$B$2*4)</f>
        <v/>
      </c>
      <c r="G475">
        <f>E475*(1+Inputs_State!$B$2*4)</f>
        <v/>
      </c>
    </row>
    <row r="476">
      <c r="A476" t="inlineStr">
        <is>
          <t>Roseau</t>
        </is>
      </c>
      <c r="B476">
        <f>Inputs_State!$B$1</f>
        <v/>
      </c>
      <c r="C476" t="inlineStr">
        <is>
          <t>5</t>
        </is>
      </c>
      <c r="D476" t="n">
        <v>1905</v>
      </c>
      <c r="E476" t="n">
        <v>1909</v>
      </c>
      <c r="F476">
        <f>D476*(1+Inputs_State!$B$2*5)</f>
        <v/>
      </c>
      <c r="G476">
        <f>E476*(1+Inputs_State!$B$2*5)</f>
        <v/>
      </c>
    </row>
    <row r="477">
      <c r="A477" t="inlineStr">
        <is>
          <t>Roseau</t>
        </is>
      </c>
      <c r="B477">
        <f>Inputs_State!$B$1</f>
        <v/>
      </c>
      <c r="C477" t="inlineStr">
        <is>
          <t>6+</t>
        </is>
      </c>
      <c r="D477" t="n">
        <v>1085</v>
      </c>
      <c r="E477" t="n">
        <v>1112</v>
      </c>
      <c r="F477">
        <f>D477*(1+Inputs_State!$B$2*6)</f>
        <v/>
      </c>
      <c r="G477">
        <f>E477*(1+Inputs_State!$B$2*6)</f>
        <v/>
      </c>
    </row>
    <row r="478">
      <c r="A478" t="inlineStr">
        <is>
          <t>St. Louis</t>
        </is>
      </c>
      <c r="B478">
        <f>Inputs_State!$B$1</f>
        <v/>
      </c>
      <c r="C478" t="inlineStr">
        <is>
          <t>0</t>
        </is>
      </c>
      <c r="D478" t="n">
        <v>7425</v>
      </c>
      <c r="E478" t="n">
        <v>6911</v>
      </c>
      <c r="F478">
        <f>D478*(1+Inputs_State!$B$2*0)</f>
        <v/>
      </c>
      <c r="G478">
        <f>E478*(1+Inputs_State!$B$2*0)</f>
        <v/>
      </c>
    </row>
    <row r="479">
      <c r="A479" t="inlineStr">
        <is>
          <t>St. Louis</t>
        </is>
      </c>
      <c r="B479">
        <f>Inputs_State!$B$1</f>
        <v/>
      </c>
      <c r="C479" t="inlineStr">
        <is>
          <t>1</t>
        </is>
      </c>
      <c r="D479" t="n">
        <v>14704</v>
      </c>
      <c r="E479" t="n">
        <v>13428</v>
      </c>
      <c r="F479">
        <f>D479*(1+Inputs_State!$B$2*1)</f>
        <v/>
      </c>
      <c r="G479">
        <f>E479*(1+Inputs_State!$B$2*1)</f>
        <v/>
      </c>
    </row>
    <row r="480">
      <c r="A480" t="inlineStr">
        <is>
          <t>St. Louis</t>
        </is>
      </c>
      <c r="B480">
        <f>Inputs_State!$B$1</f>
        <v/>
      </c>
      <c r="C480" t="inlineStr">
        <is>
          <t>2</t>
        </is>
      </c>
      <c r="D480" t="n">
        <v>19374</v>
      </c>
      <c r="E480" t="n">
        <v>17527</v>
      </c>
      <c r="F480">
        <f>D480*(1+Inputs_State!$B$2*2)</f>
        <v/>
      </c>
      <c r="G480">
        <f>E480*(1+Inputs_State!$B$2*2)</f>
        <v/>
      </c>
    </row>
    <row r="481">
      <c r="A481" t="inlineStr">
        <is>
          <t>St. Louis</t>
        </is>
      </c>
      <c r="B481">
        <f>Inputs_State!$B$1</f>
        <v/>
      </c>
      <c r="C481" t="inlineStr">
        <is>
          <t>3</t>
        </is>
      </c>
      <c r="D481" t="n">
        <v>18457</v>
      </c>
      <c r="E481" t="n">
        <v>16788</v>
      </c>
      <c r="F481">
        <f>D481*(1+Inputs_State!$B$2*3)</f>
        <v/>
      </c>
      <c r="G481">
        <f>E481*(1+Inputs_State!$B$2*3)</f>
        <v/>
      </c>
    </row>
    <row r="482">
      <c r="A482" t="inlineStr">
        <is>
          <t>St. Louis</t>
        </is>
      </c>
      <c r="B482">
        <f>Inputs_State!$B$1</f>
        <v/>
      </c>
      <c r="C482" t="inlineStr">
        <is>
          <t>4</t>
        </is>
      </c>
      <c r="D482" t="n">
        <v>14692</v>
      </c>
      <c r="E482" t="n">
        <v>13503</v>
      </c>
      <c r="F482">
        <f>D482*(1+Inputs_State!$B$2*4)</f>
        <v/>
      </c>
      <c r="G482">
        <f>E482*(1+Inputs_State!$B$2*4)</f>
        <v/>
      </c>
    </row>
    <row r="483">
      <c r="A483" t="inlineStr">
        <is>
          <t>St. Louis</t>
        </is>
      </c>
      <c r="B483">
        <f>Inputs_State!$B$1</f>
        <v/>
      </c>
      <c r="C483" t="inlineStr">
        <is>
          <t>5</t>
        </is>
      </c>
      <c r="D483" t="n">
        <v>11118</v>
      </c>
      <c r="E483" t="n">
        <v>10113</v>
      </c>
      <c r="F483">
        <f>D483*(1+Inputs_State!$B$2*5)</f>
        <v/>
      </c>
      <c r="G483">
        <f>E483*(1+Inputs_State!$B$2*5)</f>
        <v/>
      </c>
    </row>
    <row r="484">
      <c r="A484" t="inlineStr">
        <is>
          <t>St. Louis</t>
        </is>
      </c>
      <c r="B484">
        <f>Inputs_State!$B$1</f>
        <v/>
      </c>
      <c r="C484" t="inlineStr">
        <is>
          <t>6+</t>
        </is>
      </c>
      <c r="D484" t="n">
        <v>6434</v>
      </c>
      <c r="E484" t="n">
        <v>5989</v>
      </c>
      <c r="F484">
        <f>D484*(1+Inputs_State!$B$2*6)</f>
        <v/>
      </c>
      <c r="G484">
        <f>E484*(1+Inputs_State!$B$2*6)</f>
        <v/>
      </c>
    </row>
    <row r="485">
      <c r="A485" t="inlineStr">
        <is>
          <t>Scott</t>
        </is>
      </c>
      <c r="B485">
        <f>Inputs_State!$B$1</f>
        <v/>
      </c>
      <c r="C485" t="inlineStr">
        <is>
          <t>0</t>
        </is>
      </c>
      <c r="D485" t="n">
        <v>6953</v>
      </c>
      <c r="E485" t="n">
        <v>6246</v>
      </c>
      <c r="F485">
        <f>D485*(1+Inputs_State!$B$2*0)</f>
        <v/>
      </c>
      <c r="G485">
        <f>E485*(1+Inputs_State!$B$2*0)</f>
        <v/>
      </c>
    </row>
    <row r="486">
      <c r="A486" t="inlineStr">
        <is>
          <t>Scott</t>
        </is>
      </c>
      <c r="B486">
        <f>Inputs_State!$B$1</f>
        <v/>
      </c>
      <c r="C486" t="inlineStr">
        <is>
          <t>1</t>
        </is>
      </c>
      <c r="D486" t="n">
        <v>13426</v>
      </c>
      <c r="E486" t="n">
        <v>12442</v>
      </c>
      <c r="F486">
        <f>D486*(1+Inputs_State!$B$2*1)</f>
        <v/>
      </c>
      <c r="G486">
        <f>E486*(1+Inputs_State!$B$2*1)</f>
        <v/>
      </c>
    </row>
    <row r="487">
      <c r="A487" t="inlineStr">
        <is>
          <t>Scott</t>
        </is>
      </c>
      <c r="B487">
        <f>Inputs_State!$B$1</f>
        <v/>
      </c>
      <c r="C487" t="inlineStr">
        <is>
          <t>2</t>
        </is>
      </c>
      <c r="D487" t="n">
        <v>18150</v>
      </c>
      <c r="E487" t="n">
        <v>16298</v>
      </c>
      <c r="F487">
        <f>D487*(1+Inputs_State!$B$2*2)</f>
        <v/>
      </c>
      <c r="G487">
        <f>E487*(1+Inputs_State!$B$2*2)</f>
        <v/>
      </c>
    </row>
    <row r="488">
      <c r="A488" t="inlineStr">
        <is>
          <t>Scott</t>
        </is>
      </c>
      <c r="B488">
        <f>Inputs_State!$B$1</f>
        <v/>
      </c>
      <c r="C488" t="inlineStr">
        <is>
          <t>3</t>
        </is>
      </c>
      <c r="D488" t="n">
        <v>16757</v>
      </c>
      <c r="E488" t="n">
        <v>15689</v>
      </c>
      <c r="F488">
        <f>D488*(1+Inputs_State!$B$2*3)</f>
        <v/>
      </c>
      <c r="G488">
        <f>E488*(1+Inputs_State!$B$2*3)</f>
        <v/>
      </c>
    </row>
    <row r="489">
      <c r="A489" t="inlineStr">
        <is>
          <t>Scott</t>
        </is>
      </c>
      <c r="B489">
        <f>Inputs_State!$B$1</f>
        <v/>
      </c>
      <c r="C489" t="inlineStr">
        <is>
          <t>4</t>
        </is>
      </c>
      <c r="D489" t="n">
        <v>13803</v>
      </c>
      <c r="E489" t="n">
        <v>12662</v>
      </c>
      <c r="F489">
        <f>D489*(1+Inputs_State!$B$2*4)</f>
        <v/>
      </c>
      <c r="G489">
        <f>E489*(1+Inputs_State!$B$2*4)</f>
        <v/>
      </c>
    </row>
    <row r="490">
      <c r="A490" t="inlineStr">
        <is>
          <t>Scott</t>
        </is>
      </c>
      <c r="B490">
        <f>Inputs_State!$B$1</f>
        <v/>
      </c>
      <c r="C490" t="inlineStr">
        <is>
          <t>5</t>
        </is>
      </c>
      <c r="D490" t="n">
        <v>10340</v>
      </c>
      <c r="E490" t="n">
        <v>9380</v>
      </c>
      <c r="F490">
        <f>D490*(1+Inputs_State!$B$2*5)</f>
        <v/>
      </c>
      <c r="G490">
        <f>E490*(1+Inputs_State!$B$2*5)</f>
        <v/>
      </c>
    </row>
    <row r="491">
      <c r="A491" t="inlineStr">
        <is>
          <t>Scott</t>
        </is>
      </c>
      <c r="B491">
        <f>Inputs_State!$B$1</f>
        <v/>
      </c>
      <c r="C491" t="inlineStr">
        <is>
          <t>6+</t>
        </is>
      </c>
      <c r="D491" t="n">
        <v>5934</v>
      </c>
      <c r="E491" t="n">
        <v>5410</v>
      </c>
      <c r="F491">
        <f>D491*(1+Inputs_State!$B$2*6)</f>
        <v/>
      </c>
      <c r="G491">
        <f>E491*(1+Inputs_State!$B$2*6)</f>
        <v/>
      </c>
    </row>
    <row r="492">
      <c r="A492" t="inlineStr">
        <is>
          <t>Sherburne</t>
        </is>
      </c>
      <c r="B492">
        <f>Inputs_State!$B$1</f>
        <v/>
      </c>
      <c r="C492" t="inlineStr">
        <is>
          <t>0</t>
        </is>
      </c>
      <c r="D492" t="n">
        <v>3614</v>
      </c>
      <c r="E492" t="n">
        <v>3597</v>
      </c>
      <c r="F492">
        <f>D492*(1+Inputs_State!$B$2*0)</f>
        <v/>
      </c>
      <c r="G492">
        <f>E492*(1+Inputs_State!$B$2*0)</f>
        <v/>
      </c>
    </row>
    <row r="493">
      <c r="A493" t="inlineStr">
        <is>
          <t>Sherburne</t>
        </is>
      </c>
      <c r="B493">
        <f>Inputs_State!$B$1</f>
        <v/>
      </c>
      <c r="C493" t="inlineStr">
        <is>
          <t>1</t>
        </is>
      </c>
      <c r="D493" t="n">
        <v>7278</v>
      </c>
      <c r="E493" t="n">
        <v>7280</v>
      </c>
      <c r="F493">
        <f>D493*(1+Inputs_State!$B$2*1)</f>
        <v/>
      </c>
      <c r="G493">
        <f>E493*(1+Inputs_State!$B$2*1)</f>
        <v/>
      </c>
    </row>
    <row r="494">
      <c r="A494" t="inlineStr">
        <is>
          <t>Sherburne</t>
        </is>
      </c>
      <c r="B494">
        <f>Inputs_State!$B$1</f>
        <v/>
      </c>
      <c r="C494" t="inlineStr">
        <is>
          <t>2</t>
        </is>
      </c>
      <c r="D494" t="n">
        <v>9384</v>
      </c>
      <c r="E494" t="n">
        <v>9489</v>
      </c>
      <c r="F494">
        <f>D494*(1+Inputs_State!$B$2*2)</f>
        <v/>
      </c>
      <c r="G494">
        <f>E494*(1+Inputs_State!$B$2*2)</f>
        <v/>
      </c>
    </row>
    <row r="495">
      <c r="A495" t="inlineStr">
        <is>
          <t>Sherburne</t>
        </is>
      </c>
      <c r="B495">
        <f>Inputs_State!$B$1</f>
        <v/>
      </c>
      <c r="C495" t="inlineStr">
        <is>
          <t>3</t>
        </is>
      </c>
      <c r="D495" t="n">
        <v>8911</v>
      </c>
      <c r="E495" t="n">
        <v>9164</v>
      </c>
      <c r="F495">
        <f>D495*(1+Inputs_State!$B$2*3)</f>
        <v/>
      </c>
      <c r="G495">
        <f>E495*(1+Inputs_State!$B$2*3)</f>
        <v/>
      </c>
    </row>
    <row r="496">
      <c r="A496" t="inlineStr">
        <is>
          <t>Sherburne</t>
        </is>
      </c>
      <c r="B496">
        <f>Inputs_State!$B$1</f>
        <v/>
      </c>
      <c r="C496" t="inlineStr">
        <is>
          <t>4</t>
        </is>
      </c>
      <c r="D496" t="n">
        <v>7113</v>
      </c>
      <c r="E496" t="n">
        <v>7204</v>
      </c>
      <c r="F496">
        <f>D496*(1+Inputs_State!$B$2*4)</f>
        <v/>
      </c>
      <c r="G496">
        <f>E496*(1+Inputs_State!$B$2*4)</f>
        <v/>
      </c>
    </row>
    <row r="497">
      <c r="A497" t="inlineStr">
        <is>
          <t>Sherburne</t>
        </is>
      </c>
      <c r="B497">
        <f>Inputs_State!$B$1</f>
        <v/>
      </c>
      <c r="C497" t="inlineStr">
        <is>
          <t>5</t>
        </is>
      </c>
      <c r="D497" t="n">
        <v>5361</v>
      </c>
      <c r="E497" t="n">
        <v>5366</v>
      </c>
      <c r="F497">
        <f>D497*(1+Inputs_State!$B$2*5)</f>
        <v/>
      </c>
      <c r="G497">
        <f>E497*(1+Inputs_State!$B$2*5)</f>
        <v/>
      </c>
    </row>
    <row r="498">
      <c r="A498" t="inlineStr">
        <is>
          <t>Sherburne</t>
        </is>
      </c>
      <c r="B498">
        <f>Inputs_State!$B$1</f>
        <v/>
      </c>
      <c r="C498" t="inlineStr">
        <is>
          <t>6+</t>
        </is>
      </c>
      <c r="D498" t="n">
        <v>3058</v>
      </c>
      <c r="E498" t="n">
        <v>3051</v>
      </c>
      <c r="F498">
        <f>D498*(1+Inputs_State!$B$2*6)</f>
        <v/>
      </c>
      <c r="G498">
        <f>E498*(1+Inputs_State!$B$2*6)</f>
        <v/>
      </c>
    </row>
    <row r="499">
      <c r="A499" t="inlineStr">
        <is>
          <t>Sibley</t>
        </is>
      </c>
      <c r="B499">
        <f>Inputs_State!$B$1</f>
        <v/>
      </c>
      <c r="C499" t="inlineStr">
        <is>
          <t>0</t>
        </is>
      </c>
      <c r="D499" t="n">
        <v>1872</v>
      </c>
      <c r="E499" t="n">
        <v>1847</v>
      </c>
      <c r="F499">
        <f>D499*(1+Inputs_State!$B$2*0)</f>
        <v/>
      </c>
      <c r="G499">
        <f>E499*(1+Inputs_State!$B$2*0)</f>
        <v/>
      </c>
    </row>
    <row r="500">
      <c r="A500" t="inlineStr">
        <is>
          <t>Sibley</t>
        </is>
      </c>
      <c r="B500">
        <f>Inputs_State!$B$1</f>
        <v/>
      </c>
      <c r="C500" t="inlineStr">
        <is>
          <t>1</t>
        </is>
      </c>
      <c r="D500" t="n">
        <v>3668</v>
      </c>
      <c r="E500" t="n">
        <v>3554</v>
      </c>
      <c r="F500">
        <f>D500*(1+Inputs_State!$B$2*1)</f>
        <v/>
      </c>
      <c r="G500">
        <f>E500*(1+Inputs_State!$B$2*1)</f>
        <v/>
      </c>
    </row>
    <row r="501">
      <c r="A501" t="inlineStr">
        <is>
          <t>Sibley</t>
        </is>
      </c>
      <c r="B501">
        <f>Inputs_State!$B$1</f>
        <v/>
      </c>
      <c r="C501" t="inlineStr">
        <is>
          <t>2</t>
        </is>
      </c>
      <c r="D501" t="n">
        <v>4770</v>
      </c>
      <c r="E501" t="n">
        <v>4767</v>
      </c>
      <c r="F501">
        <f>D501*(1+Inputs_State!$B$2*2)</f>
        <v/>
      </c>
      <c r="G501">
        <f>E501*(1+Inputs_State!$B$2*2)</f>
        <v/>
      </c>
    </row>
    <row r="502">
      <c r="A502" t="inlineStr">
        <is>
          <t>Sibley</t>
        </is>
      </c>
      <c r="B502">
        <f>Inputs_State!$B$1</f>
        <v/>
      </c>
      <c r="C502" t="inlineStr">
        <is>
          <t>3</t>
        </is>
      </c>
      <c r="D502" t="n">
        <v>4572</v>
      </c>
      <c r="E502" t="n">
        <v>4469</v>
      </c>
      <c r="F502">
        <f>D502*(1+Inputs_State!$B$2*3)</f>
        <v/>
      </c>
      <c r="G502">
        <f>E502*(1+Inputs_State!$B$2*3)</f>
        <v/>
      </c>
    </row>
    <row r="503">
      <c r="A503" t="inlineStr">
        <is>
          <t>Sibley</t>
        </is>
      </c>
      <c r="B503">
        <f>Inputs_State!$B$1</f>
        <v/>
      </c>
      <c r="C503" t="inlineStr">
        <is>
          <t>4</t>
        </is>
      </c>
      <c r="D503" t="n">
        <v>3691</v>
      </c>
      <c r="E503" t="n">
        <v>3564</v>
      </c>
      <c r="F503">
        <f>D503*(1+Inputs_State!$B$2*4)</f>
        <v/>
      </c>
      <c r="G503">
        <f>E503*(1+Inputs_State!$B$2*4)</f>
        <v/>
      </c>
    </row>
    <row r="504">
      <c r="A504" t="inlineStr">
        <is>
          <t>Sibley</t>
        </is>
      </c>
      <c r="B504">
        <f>Inputs_State!$B$1</f>
        <v/>
      </c>
      <c r="C504" t="inlineStr">
        <is>
          <t>5</t>
        </is>
      </c>
      <c r="D504" t="n">
        <v>2751</v>
      </c>
      <c r="E504" t="n">
        <v>2682</v>
      </c>
      <c r="F504">
        <f>D504*(1+Inputs_State!$B$2*5)</f>
        <v/>
      </c>
      <c r="G504">
        <f>E504*(1+Inputs_State!$B$2*5)</f>
        <v/>
      </c>
    </row>
    <row r="505">
      <c r="A505" t="inlineStr">
        <is>
          <t>Sibley</t>
        </is>
      </c>
      <c r="B505">
        <f>Inputs_State!$B$1</f>
        <v/>
      </c>
      <c r="C505" t="inlineStr">
        <is>
          <t>6+</t>
        </is>
      </c>
      <c r="D505" t="n">
        <v>1594</v>
      </c>
      <c r="E505" t="n">
        <v>1573</v>
      </c>
      <c r="F505">
        <f>D505*(1+Inputs_State!$B$2*6)</f>
        <v/>
      </c>
      <c r="G505">
        <f>E505*(1+Inputs_State!$B$2*6)</f>
        <v/>
      </c>
    </row>
    <row r="506">
      <c r="A506" t="inlineStr">
        <is>
          <t>Stearns</t>
        </is>
      </c>
      <c r="B506">
        <f>Inputs_State!$B$1</f>
        <v/>
      </c>
      <c r="C506" t="inlineStr">
        <is>
          <t>0</t>
        </is>
      </c>
      <c r="D506" t="n">
        <v>6891</v>
      </c>
      <c r="E506" t="n">
        <v>7102</v>
      </c>
      <c r="F506">
        <f>D506*(1+Inputs_State!$B$2*0)</f>
        <v/>
      </c>
      <c r="G506">
        <f>E506*(1+Inputs_State!$B$2*0)</f>
        <v/>
      </c>
    </row>
    <row r="507">
      <c r="A507" t="inlineStr">
        <is>
          <t>Stearns</t>
        </is>
      </c>
      <c r="B507">
        <f>Inputs_State!$B$1</f>
        <v/>
      </c>
      <c r="C507" t="inlineStr">
        <is>
          <t>1</t>
        </is>
      </c>
      <c r="D507" t="n">
        <v>13758</v>
      </c>
      <c r="E507" t="n">
        <v>13861</v>
      </c>
      <c r="F507">
        <f>D507*(1+Inputs_State!$B$2*1)</f>
        <v/>
      </c>
      <c r="G507">
        <f>E507*(1+Inputs_State!$B$2*1)</f>
        <v/>
      </c>
    </row>
    <row r="508">
      <c r="A508" t="inlineStr">
        <is>
          <t>Stearns</t>
        </is>
      </c>
      <c r="B508">
        <f>Inputs_State!$B$1</f>
        <v/>
      </c>
      <c r="C508" t="inlineStr">
        <is>
          <t>2</t>
        </is>
      </c>
      <c r="D508" t="n">
        <v>18138</v>
      </c>
      <c r="E508" t="n">
        <v>18449</v>
      </c>
      <c r="F508">
        <f>D508*(1+Inputs_State!$B$2*2)</f>
        <v/>
      </c>
      <c r="G508">
        <f>E508*(1+Inputs_State!$B$2*2)</f>
        <v/>
      </c>
    </row>
    <row r="509">
      <c r="A509" t="inlineStr">
        <is>
          <t>Stearns</t>
        </is>
      </c>
      <c r="B509">
        <f>Inputs_State!$B$1</f>
        <v/>
      </c>
      <c r="C509" t="inlineStr">
        <is>
          <t>3</t>
        </is>
      </c>
      <c r="D509" t="n">
        <v>17088</v>
      </c>
      <c r="E509" t="n">
        <v>17497</v>
      </c>
      <c r="F509">
        <f>D509*(1+Inputs_State!$B$2*3)</f>
        <v/>
      </c>
      <c r="G509">
        <f>E509*(1+Inputs_State!$B$2*3)</f>
        <v/>
      </c>
    </row>
    <row r="510">
      <c r="A510" t="inlineStr">
        <is>
          <t>Stearns</t>
        </is>
      </c>
      <c r="B510">
        <f>Inputs_State!$B$1</f>
        <v/>
      </c>
      <c r="C510" t="inlineStr">
        <is>
          <t>4</t>
        </is>
      </c>
      <c r="D510" t="n">
        <v>13550</v>
      </c>
      <c r="E510" t="n">
        <v>14139</v>
      </c>
      <c r="F510">
        <f>D510*(1+Inputs_State!$B$2*4)</f>
        <v/>
      </c>
      <c r="G510">
        <f>E510*(1+Inputs_State!$B$2*4)</f>
        <v/>
      </c>
    </row>
    <row r="511">
      <c r="A511" t="inlineStr">
        <is>
          <t>Stearns</t>
        </is>
      </c>
      <c r="B511">
        <f>Inputs_State!$B$1</f>
        <v/>
      </c>
      <c r="C511" t="inlineStr">
        <is>
          <t>5</t>
        </is>
      </c>
      <c r="D511" t="n">
        <v>10298</v>
      </c>
      <c r="E511" t="n">
        <v>10702</v>
      </c>
      <c r="F511">
        <f>D511*(1+Inputs_State!$B$2*5)</f>
        <v/>
      </c>
      <c r="G511">
        <f>E511*(1+Inputs_State!$B$2*5)</f>
        <v/>
      </c>
    </row>
    <row r="512">
      <c r="A512" t="inlineStr">
        <is>
          <t>Stearns</t>
        </is>
      </c>
      <c r="B512">
        <f>Inputs_State!$B$1</f>
        <v/>
      </c>
      <c r="C512" t="inlineStr">
        <is>
          <t>6+</t>
        </is>
      </c>
      <c r="D512" t="n">
        <v>6150</v>
      </c>
      <c r="E512" t="n">
        <v>6124</v>
      </c>
      <c r="F512">
        <f>D512*(1+Inputs_State!$B$2*6)</f>
        <v/>
      </c>
      <c r="G512">
        <f>E512*(1+Inputs_State!$B$2*6)</f>
        <v/>
      </c>
    </row>
    <row r="513">
      <c r="A513" t="inlineStr">
        <is>
          <t>Steele</t>
        </is>
      </c>
      <c r="B513">
        <f>Inputs_State!$B$1</f>
        <v/>
      </c>
      <c r="C513" t="inlineStr">
        <is>
          <t>0</t>
        </is>
      </c>
      <c r="D513" t="n">
        <v>1376</v>
      </c>
      <c r="E513" t="n">
        <v>1255</v>
      </c>
      <c r="F513">
        <f>D513*(1+Inputs_State!$B$2*0)</f>
        <v/>
      </c>
      <c r="G513">
        <f>E513*(1+Inputs_State!$B$2*0)</f>
        <v/>
      </c>
    </row>
    <row r="514">
      <c r="A514" t="inlineStr">
        <is>
          <t>Steele</t>
        </is>
      </c>
      <c r="B514">
        <f>Inputs_State!$B$1</f>
        <v/>
      </c>
      <c r="C514" t="inlineStr">
        <is>
          <t>1</t>
        </is>
      </c>
      <c r="D514" t="n">
        <v>2815</v>
      </c>
      <c r="E514" t="n">
        <v>2747</v>
      </c>
      <c r="F514">
        <f>D514*(1+Inputs_State!$B$2*1)</f>
        <v/>
      </c>
      <c r="G514">
        <f>E514*(1+Inputs_State!$B$2*1)</f>
        <v/>
      </c>
    </row>
    <row r="515">
      <c r="A515" t="inlineStr">
        <is>
          <t>Steele</t>
        </is>
      </c>
      <c r="B515">
        <f>Inputs_State!$B$1</f>
        <v/>
      </c>
      <c r="C515" t="inlineStr">
        <is>
          <t>2</t>
        </is>
      </c>
      <c r="D515" t="n">
        <v>3759</v>
      </c>
      <c r="E515" t="n">
        <v>3649</v>
      </c>
      <c r="F515">
        <f>D515*(1+Inputs_State!$B$2*2)</f>
        <v/>
      </c>
      <c r="G515">
        <f>E515*(1+Inputs_State!$B$2*2)</f>
        <v/>
      </c>
    </row>
    <row r="516">
      <c r="A516" t="inlineStr">
        <is>
          <t>Steele</t>
        </is>
      </c>
      <c r="B516">
        <f>Inputs_State!$B$1</f>
        <v/>
      </c>
      <c r="C516" t="inlineStr">
        <is>
          <t>3</t>
        </is>
      </c>
      <c r="D516" t="n">
        <v>3531</v>
      </c>
      <c r="E516" t="n">
        <v>3515</v>
      </c>
      <c r="F516">
        <f>D516*(1+Inputs_State!$B$2*3)</f>
        <v/>
      </c>
      <c r="G516">
        <f>E516*(1+Inputs_State!$B$2*3)</f>
        <v/>
      </c>
    </row>
    <row r="517">
      <c r="A517" t="inlineStr">
        <is>
          <t>Steele</t>
        </is>
      </c>
      <c r="B517">
        <f>Inputs_State!$B$1</f>
        <v/>
      </c>
      <c r="C517" t="inlineStr">
        <is>
          <t>4</t>
        </is>
      </c>
      <c r="D517" t="n">
        <v>2751</v>
      </c>
      <c r="E517" t="n">
        <v>2713</v>
      </c>
      <c r="F517">
        <f>D517*(1+Inputs_State!$B$2*4)</f>
        <v/>
      </c>
      <c r="G517">
        <f>E517*(1+Inputs_State!$B$2*4)</f>
        <v/>
      </c>
    </row>
    <row r="518">
      <c r="A518" t="inlineStr">
        <is>
          <t>Steele</t>
        </is>
      </c>
      <c r="B518">
        <f>Inputs_State!$B$1</f>
        <v/>
      </c>
      <c r="C518" t="inlineStr">
        <is>
          <t>5</t>
        </is>
      </c>
      <c r="D518" t="n">
        <v>2150</v>
      </c>
      <c r="E518" t="n">
        <v>2088</v>
      </c>
      <c r="F518">
        <f>D518*(1+Inputs_State!$B$2*5)</f>
        <v/>
      </c>
      <c r="G518">
        <f>E518*(1+Inputs_State!$B$2*5)</f>
        <v/>
      </c>
    </row>
    <row r="519">
      <c r="A519" t="inlineStr">
        <is>
          <t>Steele</t>
        </is>
      </c>
      <c r="B519">
        <f>Inputs_State!$B$1</f>
        <v/>
      </c>
      <c r="C519" t="inlineStr">
        <is>
          <t>6+</t>
        </is>
      </c>
      <c r="D519" t="n">
        <v>1196</v>
      </c>
      <c r="E519" t="n">
        <v>1203</v>
      </c>
      <c r="F519">
        <f>D519*(1+Inputs_State!$B$2*6)</f>
        <v/>
      </c>
      <c r="G519">
        <f>E519*(1+Inputs_State!$B$2*6)</f>
        <v/>
      </c>
    </row>
    <row r="520">
      <c r="A520" t="inlineStr">
        <is>
          <t>Stevens</t>
        </is>
      </c>
      <c r="B520">
        <f>Inputs_State!$B$1</f>
        <v/>
      </c>
      <c r="C520" t="inlineStr">
        <is>
          <t>0</t>
        </is>
      </c>
      <c r="D520" t="n">
        <v>1822</v>
      </c>
      <c r="E520" t="n">
        <v>1754</v>
      </c>
      <c r="F520">
        <f>D520*(1+Inputs_State!$B$2*0)</f>
        <v/>
      </c>
      <c r="G520">
        <f>E520*(1+Inputs_State!$B$2*0)</f>
        <v/>
      </c>
    </row>
    <row r="521">
      <c r="A521" t="inlineStr">
        <is>
          <t>Stevens</t>
        </is>
      </c>
      <c r="B521">
        <f>Inputs_State!$B$1</f>
        <v/>
      </c>
      <c r="C521" t="inlineStr">
        <is>
          <t>1</t>
        </is>
      </c>
      <c r="D521" t="n">
        <v>3766</v>
      </c>
      <c r="E521" t="n">
        <v>3821</v>
      </c>
      <c r="F521">
        <f>D521*(1+Inputs_State!$B$2*1)</f>
        <v/>
      </c>
      <c r="G521">
        <f>E521*(1+Inputs_State!$B$2*1)</f>
        <v/>
      </c>
    </row>
    <row r="522">
      <c r="A522" t="inlineStr">
        <is>
          <t>Stevens</t>
        </is>
      </c>
      <c r="B522">
        <f>Inputs_State!$B$1</f>
        <v/>
      </c>
      <c r="C522" t="inlineStr">
        <is>
          <t>2</t>
        </is>
      </c>
      <c r="D522" t="n">
        <v>4855</v>
      </c>
      <c r="E522" t="n">
        <v>4897</v>
      </c>
      <c r="F522">
        <f>D522*(1+Inputs_State!$B$2*2)</f>
        <v/>
      </c>
      <c r="G522">
        <f>E522*(1+Inputs_State!$B$2*2)</f>
        <v/>
      </c>
    </row>
    <row r="523">
      <c r="A523" t="inlineStr">
        <is>
          <t>Stevens</t>
        </is>
      </c>
      <c r="B523">
        <f>Inputs_State!$B$1</f>
        <v/>
      </c>
      <c r="C523" t="inlineStr">
        <is>
          <t>3</t>
        </is>
      </c>
      <c r="D523" t="n">
        <v>4631</v>
      </c>
      <c r="E523" t="n">
        <v>4613</v>
      </c>
      <c r="F523">
        <f>D523*(1+Inputs_State!$B$2*3)</f>
        <v/>
      </c>
      <c r="G523">
        <f>E523*(1+Inputs_State!$B$2*3)</f>
        <v/>
      </c>
    </row>
    <row r="524">
      <c r="A524" t="inlineStr">
        <is>
          <t>Stevens</t>
        </is>
      </c>
      <c r="B524">
        <f>Inputs_State!$B$1</f>
        <v/>
      </c>
      <c r="C524" t="inlineStr">
        <is>
          <t>4</t>
        </is>
      </c>
      <c r="D524" t="n">
        <v>3753</v>
      </c>
      <c r="E524" t="n">
        <v>3662</v>
      </c>
      <c r="F524">
        <f>D524*(1+Inputs_State!$B$2*4)</f>
        <v/>
      </c>
      <c r="G524">
        <f>E524*(1+Inputs_State!$B$2*4)</f>
        <v/>
      </c>
    </row>
    <row r="525">
      <c r="A525" t="inlineStr">
        <is>
          <t>Stevens</t>
        </is>
      </c>
      <c r="B525">
        <f>Inputs_State!$B$1</f>
        <v/>
      </c>
      <c r="C525" t="inlineStr">
        <is>
          <t>5</t>
        </is>
      </c>
      <c r="D525" t="n">
        <v>2778</v>
      </c>
      <c r="E525" t="n">
        <v>2808</v>
      </c>
      <c r="F525">
        <f>D525*(1+Inputs_State!$B$2*5)</f>
        <v/>
      </c>
      <c r="G525">
        <f>E525*(1+Inputs_State!$B$2*5)</f>
        <v/>
      </c>
    </row>
    <row r="526">
      <c r="A526" t="inlineStr">
        <is>
          <t>Stevens</t>
        </is>
      </c>
      <c r="B526">
        <f>Inputs_State!$B$1</f>
        <v/>
      </c>
      <c r="C526" t="inlineStr">
        <is>
          <t>6+</t>
        </is>
      </c>
      <c r="D526" t="n">
        <v>1556</v>
      </c>
      <c r="E526" t="n">
        <v>1606</v>
      </c>
      <c r="F526">
        <f>D526*(1+Inputs_State!$B$2*6)</f>
        <v/>
      </c>
      <c r="G526">
        <f>E526*(1+Inputs_State!$B$2*6)</f>
        <v/>
      </c>
    </row>
    <row r="527">
      <c r="A527" t="inlineStr">
        <is>
          <t>Swift</t>
        </is>
      </c>
      <c r="B527">
        <f>Inputs_State!$B$1</f>
        <v/>
      </c>
      <c r="C527" t="inlineStr">
        <is>
          <t>0</t>
        </is>
      </c>
      <c r="D527" t="n">
        <v>2281</v>
      </c>
      <c r="E527" t="n">
        <v>2383</v>
      </c>
      <c r="F527">
        <f>D527*(1+Inputs_State!$B$2*0)</f>
        <v/>
      </c>
      <c r="G527">
        <f>E527*(1+Inputs_State!$B$2*0)</f>
        <v/>
      </c>
    </row>
    <row r="528">
      <c r="A528" t="inlineStr">
        <is>
          <t>Swift</t>
        </is>
      </c>
      <c r="B528">
        <f>Inputs_State!$B$1</f>
        <v/>
      </c>
      <c r="C528" t="inlineStr">
        <is>
          <t>1</t>
        </is>
      </c>
      <c r="D528" t="n">
        <v>4549</v>
      </c>
      <c r="E528" t="n">
        <v>4645</v>
      </c>
      <c r="F528">
        <f>D528*(1+Inputs_State!$B$2*1)</f>
        <v/>
      </c>
      <c r="G528">
        <f>E528*(1+Inputs_State!$B$2*1)</f>
        <v/>
      </c>
    </row>
    <row r="529">
      <c r="A529" t="inlineStr">
        <is>
          <t>Swift</t>
        </is>
      </c>
      <c r="B529">
        <f>Inputs_State!$B$1</f>
        <v/>
      </c>
      <c r="C529" t="inlineStr">
        <is>
          <t>2</t>
        </is>
      </c>
      <c r="D529" t="n">
        <v>6122</v>
      </c>
      <c r="E529" t="n">
        <v>5967</v>
      </c>
      <c r="F529">
        <f>D529*(1+Inputs_State!$B$2*2)</f>
        <v/>
      </c>
      <c r="G529">
        <f>E529*(1+Inputs_State!$B$2*2)</f>
        <v/>
      </c>
    </row>
    <row r="530">
      <c r="A530" t="inlineStr">
        <is>
          <t>Swift</t>
        </is>
      </c>
      <c r="B530">
        <f>Inputs_State!$B$1</f>
        <v/>
      </c>
      <c r="C530" t="inlineStr">
        <is>
          <t>3</t>
        </is>
      </c>
      <c r="D530" t="n">
        <v>5815</v>
      </c>
      <c r="E530" t="n">
        <v>5846</v>
      </c>
      <c r="F530">
        <f>D530*(1+Inputs_State!$B$2*3)</f>
        <v/>
      </c>
      <c r="G530">
        <f>E530*(1+Inputs_State!$B$2*3)</f>
        <v/>
      </c>
    </row>
    <row r="531">
      <c r="A531" t="inlineStr">
        <is>
          <t>Swift</t>
        </is>
      </c>
      <c r="B531">
        <f>Inputs_State!$B$1</f>
        <v/>
      </c>
      <c r="C531" t="inlineStr">
        <is>
          <t>4</t>
        </is>
      </c>
      <c r="D531" t="n">
        <v>4604</v>
      </c>
      <c r="E531" t="n">
        <v>4678</v>
      </c>
      <c r="F531">
        <f>D531*(1+Inputs_State!$B$2*4)</f>
        <v/>
      </c>
      <c r="G531">
        <f>E531*(1+Inputs_State!$B$2*4)</f>
        <v/>
      </c>
    </row>
    <row r="532">
      <c r="A532" t="inlineStr">
        <is>
          <t>Swift</t>
        </is>
      </c>
      <c r="B532">
        <f>Inputs_State!$B$1</f>
        <v/>
      </c>
      <c r="C532" t="inlineStr">
        <is>
          <t>5</t>
        </is>
      </c>
      <c r="D532" t="n">
        <v>3555</v>
      </c>
      <c r="E532" t="n">
        <v>3493</v>
      </c>
      <c r="F532">
        <f>D532*(1+Inputs_State!$B$2*5)</f>
        <v/>
      </c>
      <c r="G532">
        <f>E532*(1+Inputs_State!$B$2*5)</f>
        <v/>
      </c>
    </row>
    <row r="533">
      <c r="A533" t="inlineStr">
        <is>
          <t>Swift</t>
        </is>
      </c>
      <c r="B533">
        <f>Inputs_State!$B$1</f>
        <v/>
      </c>
      <c r="C533" t="inlineStr">
        <is>
          <t>6+</t>
        </is>
      </c>
      <c r="D533" t="n">
        <v>2057</v>
      </c>
      <c r="E533" t="n">
        <v>1986</v>
      </c>
      <c r="F533">
        <f>D533*(1+Inputs_State!$B$2*6)</f>
        <v/>
      </c>
      <c r="G533">
        <f>E533*(1+Inputs_State!$B$2*6)</f>
        <v/>
      </c>
    </row>
    <row r="534">
      <c r="A534" t="inlineStr">
        <is>
          <t>Todd</t>
        </is>
      </c>
      <c r="B534">
        <f>Inputs_State!$B$1</f>
        <v/>
      </c>
      <c r="C534" t="inlineStr">
        <is>
          <t>0</t>
        </is>
      </c>
      <c r="D534" t="n">
        <v>1745</v>
      </c>
      <c r="E534" t="n">
        <v>1702</v>
      </c>
      <c r="F534">
        <f>D534*(1+Inputs_State!$B$2*0)</f>
        <v/>
      </c>
      <c r="G534">
        <f>E534*(1+Inputs_State!$B$2*0)</f>
        <v/>
      </c>
    </row>
    <row r="535">
      <c r="A535" t="inlineStr">
        <is>
          <t>Todd</t>
        </is>
      </c>
      <c r="B535">
        <f>Inputs_State!$B$1</f>
        <v/>
      </c>
      <c r="C535" t="inlineStr">
        <is>
          <t>1</t>
        </is>
      </c>
      <c r="D535" t="n">
        <v>3488</v>
      </c>
      <c r="E535" t="n">
        <v>3217</v>
      </c>
      <c r="F535">
        <f>D535*(1+Inputs_State!$B$2*1)</f>
        <v/>
      </c>
      <c r="G535">
        <f>E535*(1+Inputs_State!$B$2*1)</f>
        <v/>
      </c>
    </row>
    <row r="536">
      <c r="A536" t="inlineStr">
        <is>
          <t>Todd</t>
        </is>
      </c>
      <c r="B536">
        <f>Inputs_State!$B$1</f>
        <v/>
      </c>
      <c r="C536" t="inlineStr">
        <is>
          <t>2</t>
        </is>
      </c>
      <c r="D536" t="n">
        <v>4670</v>
      </c>
      <c r="E536" t="n">
        <v>4193</v>
      </c>
      <c r="F536">
        <f>D536*(1+Inputs_State!$B$2*2)</f>
        <v/>
      </c>
      <c r="G536">
        <f>E536*(1+Inputs_State!$B$2*2)</f>
        <v/>
      </c>
    </row>
    <row r="537">
      <c r="A537" t="inlineStr">
        <is>
          <t>Todd</t>
        </is>
      </c>
      <c r="B537">
        <f>Inputs_State!$B$1</f>
        <v/>
      </c>
      <c r="C537" t="inlineStr">
        <is>
          <t>3</t>
        </is>
      </c>
      <c r="D537" t="n">
        <v>4368</v>
      </c>
      <c r="E537" t="n">
        <v>4063</v>
      </c>
      <c r="F537">
        <f>D537*(1+Inputs_State!$B$2*3)</f>
        <v/>
      </c>
      <c r="G537">
        <f>E537*(1+Inputs_State!$B$2*3)</f>
        <v/>
      </c>
    </row>
    <row r="538">
      <c r="A538" t="inlineStr">
        <is>
          <t>Todd</t>
        </is>
      </c>
      <c r="B538">
        <f>Inputs_State!$B$1</f>
        <v/>
      </c>
      <c r="C538" t="inlineStr">
        <is>
          <t>4</t>
        </is>
      </c>
      <c r="D538" t="n">
        <v>3522</v>
      </c>
      <c r="E538" t="n">
        <v>3174</v>
      </c>
      <c r="F538">
        <f>D538*(1+Inputs_State!$B$2*4)</f>
        <v/>
      </c>
      <c r="G538">
        <f>E538*(1+Inputs_State!$B$2*4)</f>
        <v/>
      </c>
    </row>
    <row r="539">
      <c r="A539" t="inlineStr">
        <is>
          <t>Todd</t>
        </is>
      </c>
      <c r="B539">
        <f>Inputs_State!$B$1</f>
        <v/>
      </c>
      <c r="C539" t="inlineStr">
        <is>
          <t>5</t>
        </is>
      </c>
      <c r="D539" t="n">
        <v>2736</v>
      </c>
      <c r="E539" t="n">
        <v>2455</v>
      </c>
      <c r="F539">
        <f>D539*(1+Inputs_State!$B$2*5)</f>
        <v/>
      </c>
      <c r="G539">
        <f>E539*(1+Inputs_State!$B$2*5)</f>
        <v/>
      </c>
    </row>
    <row r="540">
      <c r="A540" t="inlineStr">
        <is>
          <t>Todd</t>
        </is>
      </c>
      <c r="B540">
        <f>Inputs_State!$B$1</f>
        <v/>
      </c>
      <c r="C540" t="inlineStr">
        <is>
          <t>6+</t>
        </is>
      </c>
      <c r="D540" t="n">
        <v>1546</v>
      </c>
      <c r="E540" t="n">
        <v>1415</v>
      </c>
      <c r="F540">
        <f>D540*(1+Inputs_State!$B$2*6)</f>
        <v/>
      </c>
      <c r="G540">
        <f>E540*(1+Inputs_State!$B$2*6)</f>
        <v/>
      </c>
    </row>
    <row r="541">
      <c r="A541" t="inlineStr">
        <is>
          <t>Traverse</t>
        </is>
      </c>
      <c r="B541">
        <f>Inputs_State!$B$1</f>
        <v/>
      </c>
      <c r="C541" t="inlineStr">
        <is>
          <t>0</t>
        </is>
      </c>
      <c r="D541" t="n">
        <v>1031</v>
      </c>
      <c r="E541" t="n">
        <v>992</v>
      </c>
      <c r="F541">
        <f>D541*(1+Inputs_State!$B$2*0)</f>
        <v/>
      </c>
      <c r="G541">
        <f>E541*(1+Inputs_State!$B$2*0)</f>
        <v/>
      </c>
    </row>
    <row r="542">
      <c r="A542" t="inlineStr">
        <is>
          <t>Traverse</t>
        </is>
      </c>
      <c r="B542">
        <f>Inputs_State!$B$1</f>
        <v/>
      </c>
      <c r="C542" t="inlineStr">
        <is>
          <t>1</t>
        </is>
      </c>
      <c r="D542" t="n">
        <v>1997</v>
      </c>
      <c r="E542" t="n">
        <v>2066</v>
      </c>
      <c r="F542">
        <f>D542*(1+Inputs_State!$B$2*1)</f>
        <v/>
      </c>
      <c r="G542">
        <f>E542*(1+Inputs_State!$B$2*1)</f>
        <v/>
      </c>
    </row>
    <row r="543">
      <c r="A543" t="inlineStr">
        <is>
          <t>Traverse</t>
        </is>
      </c>
      <c r="B543">
        <f>Inputs_State!$B$1</f>
        <v/>
      </c>
      <c r="C543" t="inlineStr">
        <is>
          <t>2</t>
        </is>
      </c>
      <c r="D543" t="n">
        <v>2891</v>
      </c>
      <c r="E543" t="n">
        <v>2654</v>
      </c>
      <c r="F543">
        <f>D543*(1+Inputs_State!$B$2*2)</f>
        <v/>
      </c>
      <c r="G543">
        <f>E543*(1+Inputs_State!$B$2*2)</f>
        <v/>
      </c>
    </row>
    <row r="544">
      <c r="A544" t="inlineStr">
        <is>
          <t>Traverse</t>
        </is>
      </c>
      <c r="B544">
        <f>Inputs_State!$B$1</f>
        <v/>
      </c>
      <c r="C544" t="inlineStr">
        <is>
          <t>3</t>
        </is>
      </c>
      <c r="D544" t="n">
        <v>2677</v>
      </c>
      <c r="E544" t="n">
        <v>2670</v>
      </c>
      <c r="F544">
        <f>D544*(1+Inputs_State!$B$2*3)</f>
        <v/>
      </c>
      <c r="G544">
        <f>E544*(1+Inputs_State!$B$2*3)</f>
        <v/>
      </c>
    </row>
    <row r="545">
      <c r="A545" t="inlineStr">
        <is>
          <t>Traverse</t>
        </is>
      </c>
      <c r="B545">
        <f>Inputs_State!$B$1</f>
        <v/>
      </c>
      <c r="C545" t="inlineStr">
        <is>
          <t>4</t>
        </is>
      </c>
      <c r="D545" t="n">
        <v>2090</v>
      </c>
      <c r="E545" t="n">
        <v>2056</v>
      </c>
      <c r="F545">
        <f>D545*(1+Inputs_State!$B$2*4)</f>
        <v/>
      </c>
      <c r="G545">
        <f>E545*(1+Inputs_State!$B$2*4)</f>
        <v/>
      </c>
    </row>
    <row r="546">
      <c r="A546" t="inlineStr">
        <is>
          <t>Traverse</t>
        </is>
      </c>
      <c r="B546">
        <f>Inputs_State!$B$1</f>
        <v/>
      </c>
      <c r="C546" t="inlineStr">
        <is>
          <t>5</t>
        </is>
      </c>
      <c r="D546" t="n">
        <v>1524</v>
      </c>
      <c r="E546" t="n">
        <v>1581</v>
      </c>
      <c r="F546">
        <f>D546*(1+Inputs_State!$B$2*5)</f>
        <v/>
      </c>
      <c r="G546">
        <f>E546*(1+Inputs_State!$B$2*5)</f>
        <v/>
      </c>
    </row>
    <row r="547">
      <c r="A547" t="inlineStr">
        <is>
          <t>Traverse</t>
        </is>
      </c>
      <c r="B547">
        <f>Inputs_State!$B$1</f>
        <v/>
      </c>
      <c r="C547" t="inlineStr">
        <is>
          <t>6+</t>
        </is>
      </c>
      <c r="D547" t="n">
        <v>906</v>
      </c>
      <c r="E547" t="n">
        <v>862</v>
      </c>
      <c r="F547">
        <f>D547*(1+Inputs_State!$B$2*6)</f>
        <v/>
      </c>
      <c r="G547">
        <f>E547*(1+Inputs_State!$B$2*6)</f>
        <v/>
      </c>
    </row>
    <row r="548">
      <c r="A548" t="inlineStr">
        <is>
          <t>Wabasha</t>
        </is>
      </c>
      <c r="B548">
        <f>Inputs_State!$B$1</f>
        <v/>
      </c>
      <c r="C548" t="inlineStr">
        <is>
          <t>0</t>
        </is>
      </c>
      <c r="D548" t="n">
        <v>1700</v>
      </c>
      <c r="E548" t="n">
        <v>1584</v>
      </c>
      <c r="F548">
        <f>D548*(1+Inputs_State!$B$2*0)</f>
        <v/>
      </c>
      <c r="G548">
        <f>E548*(1+Inputs_State!$B$2*0)</f>
        <v/>
      </c>
    </row>
    <row r="549">
      <c r="A549" t="inlineStr">
        <is>
          <t>Wabasha</t>
        </is>
      </c>
      <c r="B549">
        <f>Inputs_State!$B$1</f>
        <v/>
      </c>
      <c r="C549" t="inlineStr">
        <is>
          <t>1</t>
        </is>
      </c>
      <c r="D549" t="n">
        <v>3462</v>
      </c>
      <c r="E549" t="n">
        <v>3136</v>
      </c>
      <c r="F549">
        <f>D549*(1+Inputs_State!$B$2*1)</f>
        <v/>
      </c>
      <c r="G549">
        <f>E549*(1+Inputs_State!$B$2*1)</f>
        <v/>
      </c>
    </row>
    <row r="550">
      <c r="A550" t="inlineStr">
        <is>
          <t>Wabasha</t>
        </is>
      </c>
      <c r="B550">
        <f>Inputs_State!$B$1</f>
        <v/>
      </c>
      <c r="C550" t="inlineStr">
        <is>
          <t>2</t>
        </is>
      </c>
      <c r="D550" t="n">
        <v>4478</v>
      </c>
      <c r="E550" t="n">
        <v>4031</v>
      </c>
      <c r="F550">
        <f>D550*(1+Inputs_State!$B$2*2)</f>
        <v/>
      </c>
      <c r="G550">
        <f>E550*(1+Inputs_State!$B$2*2)</f>
        <v/>
      </c>
    </row>
    <row r="551">
      <c r="A551" t="inlineStr">
        <is>
          <t>Wabasha</t>
        </is>
      </c>
      <c r="B551">
        <f>Inputs_State!$B$1</f>
        <v/>
      </c>
      <c r="C551" t="inlineStr">
        <is>
          <t>3</t>
        </is>
      </c>
      <c r="D551" t="n">
        <v>4323</v>
      </c>
      <c r="E551" t="n">
        <v>3870</v>
      </c>
      <c r="F551">
        <f>D551*(1+Inputs_State!$B$2*3)</f>
        <v/>
      </c>
      <c r="G551">
        <f>E551*(1+Inputs_State!$B$2*3)</f>
        <v/>
      </c>
    </row>
    <row r="552">
      <c r="A552" t="inlineStr">
        <is>
          <t>Wabasha</t>
        </is>
      </c>
      <c r="B552">
        <f>Inputs_State!$B$1</f>
        <v/>
      </c>
      <c r="C552" t="inlineStr">
        <is>
          <t>4</t>
        </is>
      </c>
      <c r="D552" t="n">
        <v>3431</v>
      </c>
      <c r="E552" t="n">
        <v>3152</v>
      </c>
      <c r="F552">
        <f>D552*(1+Inputs_State!$B$2*4)</f>
        <v/>
      </c>
      <c r="G552">
        <f>E552*(1+Inputs_State!$B$2*4)</f>
        <v/>
      </c>
    </row>
    <row r="553">
      <c r="A553" t="inlineStr">
        <is>
          <t>Wabasha</t>
        </is>
      </c>
      <c r="B553">
        <f>Inputs_State!$B$1</f>
        <v/>
      </c>
      <c r="C553" t="inlineStr">
        <is>
          <t>5</t>
        </is>
      </c>
      <c r="D553" t="n">
        <v>2564</v>
      </c>
      <c r="E553" t="n">
        <v>2358</v>
      </c>
      <c r="F553">
        <f>D553*(1+Inputs_State!$B$2*5)</f>
        <v/>
      </c>
      <c r="G553">
        <f>E553*(1+Inputs_State!$B$2*5)</f>
        <v/>
      </c>
    </row>
    <row r="554">
      <c r="A554" t="inlineStr">
        <is>
          <t>Wabasha</t>
        </is>
      </c>
      <c r="B554">
        <f>Inputs_State!$B$1</f>
        <v/>
      </c>
      <c r="C554" t="inlineStr">
        <is>
          <t>6+</t>
        </is>
      </c>
      <c r="D554" t="n">
        <v>1484</v>
      </c>
      <c r="E554" t="n">
        <v>1441</v>
      </c>
      <c r="F554">
        <f>D554*(1+Inputs_State!$B$2*6)</f>
        <v/>
      </c>
      <c r="G554">
        <f>E554*(1+Inputs_State!$B$2*6)</f>
        <v/>
      </c>
    </row>
    <row r="555">
      <c r="A555" t="inlineStr">
        <is>
          <t>Wadena</t>
        </is>
      </c>
      <c r="B555">
        <f>Inputs_State!$B$1</f>
        <v/>
      </c>
      <c r="C555" t="inlineStr">
        <is>
          <t>0</t>
        </is>
      </c>
      <c r="D555" t="n">
        <v>1412</v>
      </c>
      <c r="E555" t="n">
        <v>1235</v>
      </c>
      <c r="F555">
        <f>D555*(1+Inputs_State!$B$2*0)</f>
        <v/>
      </c>
      <c r="G555">
        <f>E555*(1+Inputs_State!$B$2*0)</f>
        <v/>
      </c>
    </row>
    <row r="556">
      <c r="A556" t="inlineStr">
        <is>
          <t>Wadena</t>
        </is>
      </c>
      <c r="B556">
        <f>Inputs_State!$B$1</f>
        <v/>
      </c>
      <c r="C556" t="inlineStr">
        <is>
          <t>1</t>
        </is>
      </c>
      <c r="D556" t="n">
        <v>2816</v>
      </c>
      <c r="E556" t="n">
        <v>2480</v>
      </c>
      <c r="F556">
        <f>D556*(1+Inputs_State!$B$2*1)</f>
        <v/>
      </c>
      <c r="G556">
        <f>E556*(1+Inputs_State!$B$2*1)</f>
        <v/>
      </c>
    </row>
    <row r="557">
      <c r="A557" t="inlineStr">
        <is>
          <t>Wadena</t>
        </is>
      </c>
      <c r="B557">
        <f>Inputs_State!$B$1</f>
        <v/>
      </c>
      <c r="C557" t="inlineStr">
        <is>
          <t>2</t>
        </is>
      </c>
      <c r="D557" t="n">
        <v>3492</v>
      </c>
      <c r="E557" t="n">
        <v>3304</v>
      </c>
      <c r="F557">
        <f>D557*(1+Inputs_State!$B$2*2)</f>
        <v/>
      </c>
      <c r="G557">
        <f>E557*(1+Inputs_State!$B$2*2)</f>
        <v/>
      </c>
    </row>
    <row r="558">
      <c r="A558" t="inlineStr">
        <is>
          <t>Wadena</t>
        </is>
      </c>
      <c r="B558">
        <f>Inputs_State!$B$1</f>
        <v/>
      </c>
      <c r="C558" t="inlineStr">
        <is>
          <t>3</t>
        </is>
      </c>
      <c r="D558" t="n">
        <v>3361</v>
      </c>
      <c r="E558" t="n">
        <v>3078</v>
      </c>
      <c r="F558">
        <f>D558*(1+Inputs_State!$B$2*3)</f>
        <v/>
      </c>
      <c r="G558">
        <f>E558*(1+Inputs_State!$B$2*3)</f>
        <v/>
      </c>
    </row>
    <row r="559">
      <c r="A559" t="inlineStr">
        <is>
          <t>Wadena</t>
        </is>
      </c>
      <c r="B559">
        <f>Inputs_State!$B$1</f>
        <v/>
      </c>
      <c r="C559" t="inlineStr">
        <is>
          <t>4</t>
        </is>
      </c>
      <c r="D559" t="n">
        <v>2734</v>
      </c>
      <c r="E559" t="n">
        <v>2479</v>
      </c>
      <c r="F559">
        <f>D559*(1+Inputs_State!$B$2*4)</f>
        <v/>
      </c>
      <c r="G559">
        <f>E559*(1+Inputs_State!$B$2*4)</f>
        <v/>
      </c>
    </row>
    <row r="560">
      <c r="A560" t="inlineStr">
        <is>
          <t>Wadena</t>
        </is>
      </c>
      <c r="B560">
        <f>Inputs_State!$B$1</f>
        <v/>
      </c>
      <c r="C560" t="inlineStr">
        <is>
          <t>5</t>
        </is>
      </c>
      <c r="D560" t="n">
        <v>2056</v>
      </c>
      <c r="E560" t="n">
        <v>1856</v>
      </c>
      <c r="F560">
        <f>D560*(1+Inputs_State!$B$2*5)</f>
        <v/>
      </c>
      <c r="G560">
        <f>E560*(1+Inputs_State!$B$2*5)</f>
        <v/>
      </c>
    </row>
    <row r="561">
      <c r="A561" t="inlineStr">
        <is>
          <t>Wadena</t>
        </is>
      </c>
      <c r="B561">
        <f>Inputs_State!$B$1</f>
        <v/>
      </c>
      <c r="C561" t="inlineStr">
        <is>
          <t>6+</t>
        </is>
      </c>
      <c r="D561" t="n">
        <v>1239</v>
      </c>
      <c r="E561" t="n">
        <v>1148</v>
      </c>
      <c r="F561">
        <f>D561*(1+Inputs_State!$B$2*6)</f>
        <v/>
      </c>
      <c r="G561">
        <f>E561*(1+Inputs_State!$B$2*6)</f>
        <v/>
      </c>
    </row>
    <row r="562">
      <c r="A562" t="inlineStr">
        <is>
          <t>Washington</t>
        </is>
      </c>
      <c r="B562">
        <f>Inputs_State!$B$1</f>
        <v/>
      </c>
      <c r="C562" t="inlineStr">
        <is>
          <t>0</t>
        </is>
      </c>
      <c r="D562" t="n">
        <v>7127</v>
      </c>
      <c r="E562" t="n">
        <v>7120</v>
      </c>
      <c r="F562">
        <f>D562*(1+Inputs_State!$B$2*0)</f>
        <v/>
      </c>
      <c r="G562">
        <f>E562*(1+Inputs_State!$B$2*0)</f>
        <v/>
      </c>
    </row>
    <row r="563">
      <c r="A563" t="inlineStr">
        <is>
          <t>Washington</t>
        </is>
      </c>
      <c r="B563">
        <f>Inputs_State!$B$1</f>
        <v/>
      </c>
      <c r="C563" t="inlineStr">
        <is>
          <t>1</t>
        </is>
      </c>
      <c r="D563" t="n">
        <v>14432</v>
      </c>
      <c r="E563" t="n">
        <v>14107</v>
      </c>
      <c r="F563">
        <f>D563*(1+Inputs_State!$B$2*1)</f>
        <v/>
      </c>
      <c r="G563">
        <f>E563*(1+Inputs_State!$B$2*1)</f>
        <v/>
      </c>
    </row>
    <row r="564">
      <c r="A564" t="inlineStr">
        <is>
          <t>Washington</t>
        </is>
      </c>
      <c r="B564">
        <f>Inputs_State!$B$1</f>
        <v/>
      </c>
      <c r="C564" t="inlineStr">
        <is>
          <t>2</t>
        </is>
      </c>
      <c r="D564" t="n">
        <v>18945</v>
      </c>
      <c r="E564" t="n">
        <v>18594</v>
      </c>
      <c r="F564">
        <f>D564*(1+Inputs_State!$B$2*2)</f>
        <v/>
      </c>
      <c r="G564">
        <f>E564*(1+Inputs_State!$B$2*2)</f>
        <v/>
      </c>
    </row>
    <row r="565">
      <c r="A565" t="inlineStr">
        <is>
          <t>Washington</t>
        </is>
      </c>
      <c r="B565">
        <f>Inputs_State!$B$1</f>
        <v/>
      </c>
      <c r="C565" t="inlineStr">
        <is>
          <t>3</t>
        </is>
      </c>
      <c r="D565" t="n">
        <v>17885</v>
      </c>
      <c r="E565" t="n">
        <v>17604</v>
      </c>
      <c r="F565">
        <f>D565*(1+Inputs_State!$B$2*3)</f>
        <v/>
      </c>
      <c r="G565">
        <f>E565*(1+Inputs_State!$B$2*3)</f>
        <v/>
      </c>
    </row>
    <row r="566">
      <c r="A566" t="inlineStr">
        <is>
          <t>Washington</t>
        </is>
      </c>
      <c r="B566">
        <f>Inputs_State!$B$1</f>
        <v/>
      </c>
      <c r="C566" t="inlineStr">
        <is>
          <t>4</t>
        </is>
      </c>
      <c r="D566" t="n">
        <v>14197</v>
      </c>
      <c r="E566" t="n">
        <v>14308</v>
      </c>
      <c r="F566">
        <f>D566*(1+Inputs_State!$B$2*4)</f>
        <v/>
      </c>
      <c r="G566">
        <f>E566*(1+Inputs_State!$B$2*4)</f>
        <v/>
      </c>
    </row>
    <row r="567">
      <c r="A567" t="inlineStr">
        <is>
          <t>Washington</t>
        </is>
      </c>
      <c r="B567">
        <f>Inputs_State!$B$1</f>
        <v/>
      </c>
      <c r="C567" t="inlineStr">
        <is>
          <t>5</t>
        </is>
      </c>
      <c r="D567" t="n">
        <v>10847</v>
      </c>
      <c r="E567" t="n">
        <v>10684</v>
      </c>
      <c r="F567">
        <f>D567*(1+Inputs_State!$B$2*5)</f>
        <v/>
      </c>
      <c r="G567">
        <f>E567*(1+Inputs_State!$B$2*5)</f>
        <v/>
      </c>
    </row>
    <row r="568">
      <c r="A568" t="inlineStr">
        <is>
          <t>Washington</t>
        </is>
      </c>
      <c r="B568">
        <f>Inputs_State!$B$1</f>
        <v/>
      </c>
      <c r="C568" t="inlineStr">
        <is>
          <t>6+</t>
        </is>
      </c>
      <c r="D568" t="n">
        <v>6215</v>
      </c>
      <c r="E568" t="n">
        <v>6169</v>
      </c>
      <c r="F568">
        <f>D568*(1+Inputs_State!$B$2*6)</f>
        <v/>
      </c>
      <c r="G568">
        <f>E568*(1+Inputs_State!$B$2*6)</f>
        <v/>
      </c>
    </row>
    <row r="569">
      <c r="A569" t="inlineStr">
        <is>
          <t>Watonwan</t>
        </is>
      </c>
      <c r="B569">
        <f>Inputs_State!$B$1</f>
        <v/>
      </c>
      <c r="C569" t="inlineStr">
        <is>
          <t>0</t>
        </is>
      </c>
      <c r="D569" t="n">
        <v>1205</v>
      </c>
      <c r="E569" t="n">
        <v>1099</v>
      </c>
      <c r="F569">
        <f>D569*(1+Inputs_State!$B$2*0)</f>
        <v/>
      </c>
      <c r="G569">
        <f>E569*(1+Inputs_State!$B$2*0)</f>
        <v/>
      </c>
    </row>
    <row r="570">
      <c r="A570" t="inlineStr">
        <is>
          <t>Watonwan</t>
        </is>
      </c>
      <c r="B570">
        <f>Inputs_State!$B$1</f>
        <v/>
      </c>
      <c r="C570" t="inlineStr">
        <is>
          <t>1</t>
        </is>
      </c>
      <c r="D570" t="n">
        <v>2459</v>
      </c>
      <c r="E570" t="n">
        <v>2398</v>
      </c>
      <c r="F570">
        <f>D570*(1+Inputs_State!$B$2*1)</f>
        <v/>
      </c>
      <c r="G570">
        <f>E570*(1+Inputs_State!$B$2*1)</f>
        <v/>
      </c>
    </row>
    <row r="571">
      <c r="A571" t="inlineStr">
        <is>
          <t>Watonwan</t>
        </is>
      </c>
      <c r="B571">
        <f>Inputs_State!$B$1</f>
        <v/>
      </c>
      <c r="C571" t="inlineStr">
        <is>
          <t>2</t>
        </is>
      </c>
      <c r="D571" t="n">
        <v>3267</v>
      </c>
      <c r="E571" t="n">
        <v>3030</v>
      </c>
      <c r="F571">
        <f>D571*(1+Inputs_State!$B$2*2)</f>
        <v/>
      </c>
      <c r="G571">
        <f>E571*(1+Inputs_State!$B$2*2)</f>
        <v/>
      </c>
    </row>
    <row r="572">
      <c r="A572" t="inlineStr">
        <is>
          <t>Watonwan</t>
        </is>
      </c>
      <c r="B572">
        <f>Inputs_State!$B$1</f>
        <v/>
      </c>
      <c r="C572" t="inlineStr">
        <is>
          <t>3</t>
        </is>
      </c>
      <c r="D572" t="n">
        <v>3188</v>
      </c>
      <c r="E572" t="n">
        <v>2931</v>
      </c>
      <c r="F572">
        <f>D572*(1+Inputs_State!$B$2*3)</f>
        <v/>
      </c>
      <c r="G572">
        <f>E572*(1+Inputs_State!$B$2*3)</f>
        <v/>
      </c>
    </row>
    <row r="573">
      <c r="A573" t="inlineStr">
        <is>
          <t>Watonwan</t>
        </is>
      </c>
      <c r="B573">
        <f>Inputs_State!$B$1</f>
        <v/>
      </c>
      <c r="C573" t="inlineStr">
        <is>
          <t>4</t>
        </is>
      </c>
      <c r="D573" t="n">
        <v>2461</v>
      </c>
      <c r="E573" t="n">
        <v>2349</v>
      </c>
      <c r="F573">
        <f>D573*(1+Inputs_State!$B$2*4)</f>
        <v/>
      </c>
      <c r="G573">
        <f>E573*(1+Inputs_State!$B$2*4)</f>
        <v/>
      </c>
    </row>
    <row r="574">
      <c r="A574" t="inlineStr">
        <is>
          <t>Watonwan</t>
        </is>
      </c>
      <c r="B574">
        <f>Inputs_State!$B$1</f>
        <v/>
      </c>
      <c r="C574" t="inlineStr">
        <is>
          <t>5</t>
        </is>
      </c>
      <c r="D574" t="n">
        <v>1786</v>
      </c>
      <c r="E574" t="n">
        <v>1725</v>
      </c>
      <c r="F574">
        <f>D574*(1+Inputs_State!$B$2*5)</f>
        <v/>
      </c>
      <c r="G574">
        <f>E574*(1+Inputs_State!$B$2*5)</f>
        <v/>
      </c>
    </row>
    <row r="575">
      <c r="A575" t="inlineStr">
        <is>
          <t>Watonwan</t>
        </is>
      </c>
      <c r="B575">
        <f>Inputs_State!$B$1</f>
        <v/>
      </c>
      <c r="C575" t="inlineStr">
        <is>
          <t>6+</t>
        </is>
      </c>
      <c r="D575" t="n">
        <v>1085</v>
      </c>
      <c r="E575" t="n">
        <v>997</v>
      </c>
      <c r="F575">
        <f>D575*(1+Inputs_State!$B$2*6)</f>
        <v/>
      </c>
      <c r="G575">
        <f>E575*(1+Inputs_State!$B$2*6)</f>
        <v/>
      </c>
    </row>
    <row r="576">
      <c r="A576" t="inlineStr">
        <is>
          <t>Wilkin</t>
        </is>
      </c>
      <c r="B576">
        <f>Inputs_State!$B$1</f>
        <v/>
      </c>
      <c r="C576" t="inlineStr">
        <is>
          <t>0</t>
        </is>
      </c>
      <c r="D576" t="n">
        <v>1392</v>
      </c>
      <c r="E576" t="n">
        <v>1403</v>
      </c>
      <c r="F576">
        <f>D576*(1+Inputs_State!$B$2*0)</f>
        <v/>
      </c>
      <c r="G576">
        <f>E576*(1+Inputs_State!$B$2*0)</f>
        <v/>
      </c>
    </row>
    <row r="577">
      <c r="A577" t="inlineStr">
        <is>
          <t>Wilkin</t>
        </is>
      </c>
      <c r="B577">
        <f>Inputs_State!$B$1</f>
        <v/>
      </c>
      <c r="C577" t="inlineStr">
        <is>
          <t>1</t>
        </is>
      </c>
      <c r="D577" t="n">
        <v>2801</v>
      </c>
      <c r="E577" t="n">
        <v>2777</v>
      </c>
      <c r="F577">
        <f>D577*(1+Inputs_State!$B$2*1)</f>
        <v/>
      </c>
      <c r="G577">
        <f>E577*(1+Inputs_State!$B$2*1)</f>
        <v/>
      </c>
    </row>
    <row r="578">
      <c r="A578" t="inlineStr">
        <is>
          <t>Wilkin</t>
        </is>
      </c>
      <c r="B578">
        <f>Inputs_State!$B$1</f>
        <v/>
      </c>
      <c r="C578" t="inlineStr">
        <is>
          <t>2</t>
        </is>
      </c>
      <c r="D578" t="n">
        <v>3658</v>
      </c>
      <c r="E578" t="n">
        <v>3703</v>
      </c>
      <c r="F578">
        <f>D578*(1+Inputs_State!$B$2*2)</f>
        <v/>
      </c>
      <c r="G578">
        <f>E578*(1+Inputs_State!$B$2*2)</f>
        <v/>
      </c>
    </row>
    <row r="579">
      <c r="A579" t="inlineStr">
        <is>
          <t>Wilkin</t>
        </is>
      </c>
      <c r="B579">
        <f>Inputs_State!$B$1</f>
        <v/>
      </c>
      <c r="C579" t="inlineStr">
        <is>
          <t>3</t>
        </is>
      </c>
      <c r="D579" t="n">
        <v>3444</v>
      </c>
      <c r="E579" t="n">
        <v>3483</v>
      </c>
      <c r="F579">
        <f>D579*(1+Inputs_State!$B$2*3)</f>
        <v/>
      </c>
      <c r="G579">
        <f>E579*(1+Inputs_State!$B$2*3)</f>
        <v/>
      </c>
    </row>
    <row r="580">
      <c r="A580" t="inlineStr">
        <is>
          <t>Wilkin</t>
        </is>
      </c>
      <c r="B580">
        <f>Inputs_State!$B$1</f>
        <v/>
      </c>
      <c r="C580" t="inlineStr">
        <is>
          <t>4</t>
        </is>
      </c>
      <c r="D580" t="n">
        <v>2791</v>
      </c>
      <c r="E580" t="n">
        <v>2940</v>
      </c>
      <c r="F580">
        <f>D580*(1+Inputs_State!$B$2*4)</f>
        <v/>
      </c>
      <c r="G580">
        <f>E580*(1+Inputs_State!$B$2*4)</f>
        <v/>
      </c>
    </row>
    <row r="581">
      <c r="A581" t="inlineStr">
        <is>
          <t>Wilkin</t>
        </is>
      </c>
      <c r="B581">
        <f>Inputs_State!$B$1</f>
        <v/>
      </c>
      <c r="C581" t="inlineStr">
        <is>
          <t>5</t>
        </is>
      </c>
      <c r="D581" t="n">
        <v>2034</v>
      </c>
      <c r="E581" t="n">
        <v>2171</v>
      </c>
      <c r="F581">
        <f>D581*(1+Inputs_State!$B$2*5)</f>
        <v/>
      </c>
      <c r="G581">
        <f>E581*(1+Inputs_State!$B$2*5)</f>
        <v/>
      </c>
    </row>
    <row r="582">
      <c r="A582" t="inlineStr">
        <is>
          <t>Wilkin</t>
        </is>
      </c>
      <c r="B582">
        <f>Inputs_State!$B$1</f>
        <v/>
      </c>
      <c r="C582" t="inlineStr">
        <is>
          <t>6+</t>
        </is>
      </c>
      <c r="D582" t="n">
        <v>1206</v>
      </c>
      <c r="E582" t="n">
        <v>1193</v>
      </c>
      <c r="F582">
        <f>D582*(1+Inputs_State!$B$2*6)</f>
        <v/>
      </c>
      <c r="G582">
        <f>E582*(1+Inputs_State!$B$2*6)</f>
        <v/>
      </c>
    </row>
    <row r="583">
      <c r="A583" t="inlineStr">
        <is>
          <t>Winona</t>
        </is>
      </c>
      <c r="B583">
        <f>Inputs_State!$B$1</f>
        <v/>
      </c>
      <c r="C583" t="inlineStr">
        <is>
          <t>0</t>
        </is>
      </c>
      <c r="D583" t="n">
        <v>4226</v>
      </c>
      <c r="E583" t="n">
        <v>4176</v>
      </c>
      <c r="F583">
        <f>D583*(1+Inputs_State!$B$2*0)</f>
        <v/>
      </c>
      <c r="G583">
        <f>E583*(1+Inputs_State!$B$2*0)</f>
        <v/>
      </c>
    </row>
    <row r="584">
      <c r="A584" t="inlineStr">
        <is>
          <t>Winona</t>
        </is>
      </c>
      <c r="B584">
        <f>Inputs_State!$B$1</f>
        <v/>
      </c>
      <c r="C584" t="inlineStr">
        <is>
          <t>1</t>
        </is>
      </c>
      <c r="D584" t="n">
        <v>8565</v>
      </c>
      <c r="E584" t="n">
        <v>8291</v>
      </c>
      <c r="F584">
        <f>D584*(1+Inputs_State!$B$2*1)</f>
        <v/>
      </c>
      <c r="G584">
        <f>E584*(1+Inputs_State!$B$2*1)</f>
        <v/>
      </c>
    </row>
    <row r="585">
      <c r="A585" t="inlineStr">
        <is>
          <t>Winona</t>
        </is>
      </c>
      <c r="B585">
        <f>Inputs_State!$B$1</f>
        <v/>
      </c>
      <c r="C585" t="inlineStr">
        <is>
          <t>2</t>
        </is>
      </c>
      <c r="D585" t="n">
        <v>11057</v>
      </c>
      <c r="E585" t="n">
        <v>10891</v>
      </c>
      <c r="F585">
        <f>D585*(1+Inputs_State!$B$2*2)</f>
        <v/>
      </c>
      <c r="G585">
        <f>E585*(1+Inputs_State!$B$2*2)</f>
        <v/>
      </c>
    </row>
    <row r="586">
      <c r="A586" t="inlineStr">
        <is>
          <t>Winona</t>
        </is>
      </c>
      <c r="B586">
        <f>Inputs_State!$B$1</f>
        <v/>
      </c>
      <c r="C586" t="inlineStr">
        <is>
          <t>3</t>
        </is>
      </c>
      <c r="D586" t="n">
        <v>10633</v>
      </c>
      <c r="E586" t="n">
        <v>10434</v>
      </c>
      <c r="F586">
        <f>D586*(1+Inputs_State!$B$2*3)</f>
        <v/>
      </c>
      <c r="G586">
        <f>E586*(1+Inputs_State!$B$2*3)</f>
        <v/>
      </c>
    </row>
    <row r="587">
      <c r="A587" t="inlineStr">
        <is>
          <t>Winona</t>
        </is>
      </c>
      <c r="B587">
        <f>Inputs_State!$B$1</f>
        <v/>
      </c>
      <c r="C587" t="inlineStr">
        <is>
          <t>4</t>
        </is>
      </c>
      <c r="D587" t="n">
        <v>8485</v>
      </c>
      <c r="E587" t="n">
        <v>8418</v>
      </c>
      <c r="F587">
        <f>D587*(1+Inputs_State!$B$2*4)</f>
        <v/>
      </c>
      <c r="G587">
        <f>E587*(1+Inputs_State!$B$2*4)</f>
        <v/>
      </c>
    </row>
    <row r="588">
      <c r="A588" t="inlineStr">
        <is>
          <t>Winona</t>
        </is>
      </c>
      <c r="B588">
        <f>Inputs_State!$B$1</f>
        <v/>
      </c>
      <c r="C588" t="inlineStr">
        <is>
          <t>5</t>
        </is>
      </c>
      <c r="D588" t="n">
        <v>6282</v>
      </c>
      <c r="E588" t="n">
        <v>6137</v>
      </c>
      <c r="F588">
        <f>D588*(1+Inputs_State!$B$2*5)</f>
        <v/>
      </c>
      <c r="G588">
        <f>E588*(1+Inputs_State!$B$2*5)</f>
        <v/>
      </c>
    </row>
    <row r="589">
      <c r="A589" t="inlineStr">
        <is>
          <t>Winona</t>
        </is>
      </c>
      <c r="B589">
        <f>Inputs_State!$B$1</f>
        <v/>
      </c>
      <c r="C589" t="inlineStr">
        <is>
          <t>6+</t>
        </is>
      </c>
      <c r="D589" t="n">
        <v>3624</v>
      </c>
      <c r="E589" t="n">
        <v>3707</v>
      </c>
      <c r="F589">
        <f>D589*(1+Inputs_State!$B$2*6)</f>
        <v/>
      </c>
      <c r="G589">
        <f>E589*(1+Inputs_State!$B$2*6)</f>
        <v/>
      </c>
    </row>
    <row r="590">
      <c r="A590" t="inlineStr">
        <is>
          <t>Wright</t>
        </is>
      </c>
      <c r="B590">
        <f>Inputs_State!$B$1</f>
        <v/>
      </c>
      <c r="C590" t="inlineStr">
        <is>
          <t>0</t>
        </is>
      </c>
      <c r="D590" t="n">
        <v>2017</v>
      </c>
      <c r="E590" t="n">
        <v>1856</v>
      </c>
      <c r="F590">
        <f>D590*(1+Inputs_State!$B$2*0)</f>
        <v/>
      </c>
      <c r="G590">
        <f>E590*(1+Inputs_State!$B$2*0)</f>
        <v/>
      </c>
    </row>
    <row r="591">
      <c r="A591" t="inlineStr">
        <is>
          <t>Wright</t>
        </is>
      </c>
      <c r="B591">
        <f>Inputs_State!$B$1</f>
        <v/>
      </c>
      <c r="C591" t="inlineStr">
        <is>
          <t>1</t>
        </is>
      </c>
      <c r="D591" t="n">
        <v>4067</v>
      </c>
      <c r="E591" t="n">
        <v>3743</v>
      </c>
      <c r="F591">
        <f>D591*(1+Inputs_State!$B$2*1)</f>
        <v/>
      </c>
      <c r="G591">
        <f>E591*(1+Inputs_State!$B$2*1)</f>
        <v/>
      </c>
    </row>
    <row r="592">
      <c r="A592" t="inlineStr">
        <is>
          <t>Wright</t>
        </is>
      </c>
      <c r="B592">
        <f>Inputs_State!$B$1</f>
        <v/>
      </c>
      <c r="C592" t="inlineStr">
        <is>
          <t>2</t>
        </is>
      </c>
      <c r="D592" t="n">
        <v>5342</v>
      </c>
      <c r="E592" t="n">
        <v>4840</v>
      </c>
      <c r="F592">
        <f>D592*(1+Inputs_State!$B$2*2)</f>
        <v/>
      </c>
      <c r="G592">
        <f>E592*(1+Inputs_State!$B$2*2)</f>
        <v/>
      </c>
    </row>
    <row r="593">
      <c r="A593" t="inlineStr">
        <is>
          <t>Wright</t>
        </is>
      </c>
      <c r="B593">
        <f>Inputs_State!$B$1</f>
        <v/>
      </c>
      <c r="C593" t="inlineStr">
        <is>
          <t>3</t>
        </is>
      </c>
      <c r="D593" t="n">
        <v>5112</v>
      </c>
      <c r="E593" t="n">
        <v>4688</v>
      </c>
      <c r="F593">
        <f>D593*(1+Inputs_State!$B$2*3)</f>
        <v/>
      </c>
      <c r="G593">
        <f>E593*(1+Inputs_State!$B$2*3)</f>
        <v/>
      </c>
    </row>
    <row r="594">
      <c r="A594" t="inlineStr">
        <is>
          <t>Wright</t>
        </is>
      </c>
      <c r="B594">
        <f>Inputs_State!$B$1</f>
        <v/>
      </c>
      <c r="C594" t="inlineStr">
        <is>
          <t>4</t>
        </is>
      </c>
      <c r="D594" t="n">
        <v>4117</v>
      </c>
      <c r="E594" t="n">
        <v>3645</v>
      </c>
      <c r="F594">
        <f>D594*(1+Inputs_State!$B$2*4)</f>
        <v/>
      </c>
      <c r="G594">
        <f>E594*(1+Inputs_State!$B$2*4)</f>
        <v/>
      </c>
    </row>
    <row r="595">
      <c r="A595" t="inlineStr">
        <is>
          <t>Wright</t>
        </is>
      </c>
      <c r="B595">
        <f>Inputs_State!$B$1</f>
        <v/>
      </c>
      <c r="C595" t="inlineStr">
        <is>
          <t>5</t>
        </is>
      </c>
      <c r="D595" t="n">
        <v>3033</v>
      </c>
      <c r="E595" t="n">
        <v>2814</v>
      </c>
      <c r="F595">
        <f>D595*(1+Inputs_State!$B$2*5)</f>
        <v/>
      </c>
      <c r="G595">
        <f>E595*(1+Inputs_State!$B$2*5)</f>
        <v/>
      </c>
    </row>
    <row r="596">
      <c r="A596" t="inlineStr">
        <is>
          <t>Wright</t>
        </is>
      </c>
      <c r="B596">
        <f>Inputs_State!$B$1</f>
        <v/>
      </c>
      <c r="C596" t="inlineStr">
        <is>
          <t>6+</t>
        </is>
      </c>
      <c r="D596" t="n">
        <v>1745</v>
      </c>
      <c r="E596" t="n">
        <v>1620</v>
      </c>
      <c r="F596">
        <f>D596*(1+Inputs_State!$B$2*6)</f>
        <v/>
      </c>
      <c r="G596">
        <f>E596*(1+Inputs_State!$B$2*6)</f>
        <v/>
      </c>
    </row>
    <row r="597">
      <c r="A597" t="inlineStr">
        <is>
          <t>Yellow Medicine</t>
        </is>
      </c>
      <c r="B597">
        <f>Inputs_State!$B$1</f>
        <v/>
      </c>
      <c r="C597" t="inlineStr">
        <is>
          <t>0</t>
        </is>
      </c>
      <c r="D597" t="n">
        <v>743</v>
      </c>
      <c r="E597" t="n">
        <v>848</v>
      </c>
      <c r="F597">
        <f>D597*(1+Inputs_State!$B$2*0)</f>
        <v/>
      </c>
      <c r="G597">
        <f>E597*(1+Inputs_State!$B$2*0)</f>
        <v/>
      </c>
    </row>
    <row r="598">
      <c r="A598" t="inlineStr">
        <is>
          <t>Yellow Medicine</t>
        </is>
      </c>
      <c r="B598">
        <f>Inputs_State!$B$1</f>
        <v/>
      </c>
      <c r="C598" t="inlineStr">
        <is>
          <t>1</t>
        </is>
      </c>
      <c r="D598" t="n">
        <v>1549</v>
      </c>
      <c r="E598" t="n">
        <v>1618</v>
      </c>
      <c r="F598">
        <f>D598*(1+Inputs_State!$B$2*1)</f>
        <v/>
      </c>
      <c r="G598">
        <f>E598*(1+Inputs_State!$B$2*1)</f>
        <v/>
      </c>
    </row>
    <row r="599">
      <c r="A599" t="inlineStr">
        <is>
          <t>Yellow Medicine</t>
        </is>
      </c>
      <c r="B599">
        <f>Inputs_State!$B$1</f>
        <v/>
      </c>
      <c r="C599" t="inlineStr">
        <is>
          <t>2</t>
        </is>
      </c>
      <c r="D599" t="n">
        <v>2109</v>
      </c>
      <c r="E599" t="n">
        <v>2100</v>
      </c>
      <c r="F599">
        <f>D599*(1+Inputs_State!$B$2*2)</f>
        <v/>
      </c>
      <c r="G599">
        <f>E599*(1+Inputs_State!$B$2*2)</f>
        <v/>
      </c>
    </row>
    <row r="600">
      <c r="A600" t="inlineStr">
        <is>
          <t>Yellow Medicine</t>
        </is>
      </c>
      <c r="B600">
        <f>Inputs_State!$B$1</f>
        <v/>
      </c>
      <c r="C600" t="inlineStr">
        <is>
          <t>3</t>
        </is>
      </c>
      <c r="D600" t="n">
        <v>2009</v>
      </c>
      <c r="E600" t="n">
        <v>1968</v>
      </c>
      <c r="F600">
        <f>D600*(1+Inputs_State!$B$2*3)</f>
        <v/>
      </c>
      <c r="G600">
        <f>E600*(1+Inputs_State!$B$2*3)</f>
        <v/>
      </c>
    </row>
    <row r="601">
      <c r="A601" t="inlineStr">
        <is>
          <t>Yellow Medicine</t>
        </is>
      </c>
      <c r="B601">
        <f>Inputs_State!$B$1</f>
        <v/>
      </c>
      <c r="C601" t="inlineStr">
        <is>
          <t>4</t>
        </is>
      </c>
      <c r="D601" t="n">
        <v>1530</v>
      </c>
      <c r="E601" t="n">
        <v>1612</v>
      </c>
      <c r="F601">
        <f>D601*(1+Inputs_State!$B$2*4)</f>
        <v/>
      </c>
      <c r="G601">
        <f>E601*(1+Inputs_State!$B$2*4)</f>
        <v/>
      </c>
    </row>
    <row r="602">
      <c r="A602" t="inlineStr">
        <is>
          <t>Yellow Medicine</t>
        </is>
      </c>
      <c r="B602">
        <f>Inputs_State!$B$1</f>
        <v/>
      </c>
      <c r="C602" t="inlineStr">
        <is>
          <t>5</t>
        </is>
      </c>
      <c r="D602" t="n">
        <v>1152</v>
      </c>
      <c r="E602" t="n">
        <v>1198</v>
      </c>
      <c r="F602">
        <f>D602*(1+Inputs_State!$B$2*5)</f>
        <v/>
      </c>
      <c r="G602">
        <f>E602*(1+Inputs_State!$B$2*5)</f>
        <v/>
      </c>
    </row>
    <row r="603">
      <c r="A603" t="inlineStr">
        <is>
          <t>Yellow Medicine</t>
        </is>
      </c>
      <c r="B603">
        <f>Inputs_State!$B$1</f>
        <v/>
      </c>
      <c r="C603" t="inlineStr">
        <is>
          <t>6+</t>
        </is>
      </c>
      <c r="D603" t="n">
        <v>671</v>
      </c>
      <c r="E603" t="n">
        <v>682</v>
      </c>
      <c r="F603">
        <f>D603*(1+Inputs_State!$B$2*6)</f>
        <v/>
      </c>
      <c r="G603">
        <f>E603*(1+Inputs_State!$B$2*6)</f>
        <v/>
      </c>
    </row>
  </sheetData>
  <dataValidations count="1">
    <dataValidation sqref="A2:A603" showDropDown="0" showInputMessage="0" showErrorMessage="0" allowBlank="0" type="list">
      <formula1>=tblCounties[County]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8" customWidth="1" min="13" max="13"/>
    <col width="12" customWidth="1" min="14" max="14"/>
    <col width="10" customWidth="1" min="15" max="15"/>
    <col width="14" customWidth="1" min="16" max="16"/>
    <col width="12" customWidth="1" min="17" max="17"/>
    <col width="10" customWidth="1" min="18" max="18"/>
    <col width="12" customWidth="1" min="19" max="19"/>
    <col width="10" customWidth="1" min="20" max="20"/>
    <col width="8" customWidth="1" min="21" max="21"/>
  </cols>
  <sheetData>
    <row r="1">
      <c r="A1" s="1" t="inlineStr">
        <is>
          <t>County</t>
        </is>
      </c>
      <c r="B1" s="1" t="inlineStr">
        <is>
          <t>Period</t>
        </is>
      </c>
      <c r="C1" s="1" t="inlineStr">
        <is>
          <t>AP</t>
        </is>
      </c>
      <c r="D1" s="1" t="inlineStr">
        <is>
          <t>Cases_Current</t>
        </is>
      </c>
      <c r="E1" s="1" t="inlineStr">
        <is>
          <t>WC_Current</t>
        </is>
      </c>
      <c r="F1" s="1" t="inlineStr">
        <is>
          <t>Wbar_Current</t>
        </is>
      </c>
      <c r="G1" s="1" t="inlineStr">
        <is>
          <t>Cases_Baseline</t>
        </is>
      </c>
      <c r="H1" s="1" t="inlineStr">
        <is>
          <t>WC_Baseline</t>
        </is>
      </c>
      <c r="I1" s="1" t="inlineStr">
        <is>
          <t>Wbar_Baseline</t>
        </is>
      </c>
      <c r="J1" s="1" t="inlineStr">
        <is>
          <t>CPF</t>
        </is>
      </c>
      <c r="K1" s="1" t="inlineStr">
        <is>
          <t>P_ref</t>
        </is>
      </c>
      <c r="L1" s="1" t="inlineStr">
        <is>
          <t>P_eff</t>
        </is>
      </c>
      <c r="M1" s="1" t="inlineStr">
        <is>
          <t>FTE_on</t>
        </is>
      </c>
      <c r="N1" s="1" t="inlineStr">
        <is>
          <t>Capacity_eff</t>
        </is>
      </c>
      <c r="O1" s="1" t="inlineStr">
        <is>
          <t>Utilization</t>
        </is>
      </c>
      <c r="P1" s="1" t="inlineStr">
        <is>
          <t>Backlog_Start</t>
        </is>
      </c>
      <c r="Q1" s="1" t="inlineStr">
        <is>
          <t>Backlog_End</t>
        </is>
      </c>
      <c r="R1" s="1" t="inlineStr">
        <is>
          <t>Buffer_FTE</t>
        </is>
      </c>
      <c r="S1" s="1" t="inlineStr">
        <is>
          <t>FTE_required</t>
        </is>
      </c>
      <c r="T1" s="1" t="inlineStr">
        <is>
          <t>Gap</t>
        </is>
      </c>
      <c r="U1" s="1" t="inlineStr">
        <is>
          <t>RAG</t>
        </is>
      </c>
    </row>
    <row r="2">
      <c r="A2" t="inlineStr">
        <is>
          <t>Aitkin</t>
        </is>
      </c>
      <c r="B2">
        <f>Inputs_State!$B$1</f>
        <v/>
      </c>
      <c r="C2">
        <f>SUMIFS(tblArrivals[Points],tblArrivals[County],A2)</f>
        <v/>
      </c>
      <c r="D2">
        <f>SUMIFS(tblComplexity[Cases_Current],tblComplexity[County],A2)</f>
        <v/>
      </c>
      <c r="E2">
        <f>SUMIFS(tblComplexity[Weight_Current],tblComplexity[County],A2)</f>
        <v/>
      </c>
      <c r="F2">
        <f>IF(D2&gt;0,E2/D2,0)</f>
        <v/>
      </c>
      <c r="G2">
        <f>SUMIFS(tblComplexity[Cases_Baseline],tblComplexity[County],A2)</f>
        <v/>
      </c>
      <c r="H2">
        <f>SUMIFS(tblComplexity[Weight_Baseline],tblComplexity[County],A2)</f>
        <v/>
      </c>
      <c r="I2">
        <f>IF(G2&gt;0,H2/G2,0)</f>
        <v/>
      </c>
      <c r="J2">
        <f>IF(I2&gt;0,F2/I2,1)</f>
        <v/>
      </c>
      <c r="K2">
        <f>IFERROR(VLOOKUP(A2,tblBaseline,6,FALSE)/VLOOKUP(A2,tblBaseline,7,FALSE),0)</f>
        <v/>
      </c>
      <c r="L2">
        <f>IF(J2&gt;0,K2/J2,0)</f>
        <v/>
      </c>
      <c r="M2">
        <f>IFERROR(VLOOKUP(A2,tblBaseline,3,FALSE),0)</f>
        <v/>
      </c>
      <c r="N2">
        <f>M2*L2</f>
        <v/>
      </c>
      <c r="O2">
        <f>IF(N2&gt;0,C2/N2,0)</f>
        <v/>
      </c>
      <c r="P2">
        <f>IFERROR(VLOOKUP(A2,tblBaseline,5,FALSE),0)</f>
        <v/>
      </c>
      <c r="Q2">
        <f>P2+C2-N2</f>
        <v/>
      </c>
      <c r="R2">
        <f>IFERROR(VLOOKUP(A2,tblBaseline,4,FALSE),Inputs_State!$B$5)</f>
        <v/>
      </c>
      <c r="S2">
        <f>IF(L2&gt;0,C2/L2,0)+R2</f>
        <v/>
      </c>
      <c r="T2">
        <f>S2-M2</f>
        <v/>
      </c>
      <c r="U2">
        <f>IF(O2&gt;=Inputs_State!$B$4,"RED",IF(O2&gt;=Inputs_State!$B$3,"AMBER","GREEN"))</f>
        <v/>
      </c>
    </row>
    <row r="3">
      <c r="A3" t="inlineStr">
        <is>
          <t>Anoka</t>
        </is>
      </c>
      <c r="B3">
        <f>Inputs_State!$B$1</f>
        <v/>
      </c>
      <c r="C3">
        <f>SUMIFS(tblArrivals[Points],tblArrivals[County],A3)</f>
        <v/>
      </c>
      <c r="D3">
        <f>SUMIFS(tblComplexity[Cases_Current],tblComplexity[County],A3)</f>
        <v/>
      </c>
      <c r="E3">
        <f>SUMIFS(tblComplexity[Weight_Current],tblComplexity[County],A3)</f>
        <v/>
      </c>
      <c r="F3">
        <f>IF(D3&gt;0,E3/D3,0)</f>
        <v/>
      </c>
      <c r="G3">
        <f>SUMIFS(tblComplexity[Cases_Baseline],tblComplexity[County],A3)</f>
        <v/>
      </c>
      <c r="H3">
        <f>SUMIFS(tblComplexity[Weight_Baseline],tblComplexity[County],A3)</f>
        <v/>
      </c>
      <c r="I3">
        <f>IF(G3&gt;0,H3/G3,0)</f>
        <v/>
      </c>
      <c r="J3">
        <f>IF(I3&gt;0,F3/I3,1)</f>
        <v/>
      </c>
      <c r="K3">
        <f>IFERROR(VLOOKUP(A3,tblBaseline,6,FALSE)/VLOOKUP(A3,tblBaseline,7,FALSE),0)</f>
        <v/>
      </c>
      <c r="L3">
        <f>IF(J3&gt;0,K3/J3,0)</f>
        <v/>
      </c>
      <c r="M3">
        <f>IFERROR(VLOOKUP(A3,tblBaseline,3,FALSE),0)</f>
        <v/>
      </c>
      <c r="N3">
        <f>M3*L3</f>
        <v/>
      </c>
      <c r="O3">
        <f>IF(N3&gt;0,C3/N3,0)</f>
        <v/>
      </c>
      <c r="P3">
        <f>IFERROR(VLOOKUP(A3,tblBaseline,5,FALSE),0)</f>
        <v/>
      </c>
      <c r="Q3">
        <f>P3+C3-N3</f>
        <v/>
      </c>
      <c r="R3">
        <f>IFERROR(VLOOKUP(A3,tblBaseline,4,FALSE),Inputs_State!$B$5)</f>
        <v/>
      </c>
      <c r="S3">
        <f>IF(L3&gt;0,C3/L3,0)+R3</f>
        <v/>
      </c>
      <c r="T3">
        <f>S3-M3</f>
        <v/>
      </c>
      <c r="U3">
        <f>IF(O3&gt;=Inputs_State!$B$4,"RED",IF(O3&gt;=Inputs_State!$B$3,"AMBER","GREEN"))</f>
        <v/>
      </c>
    </row>
    <row r="4">
      <c r="A4" t="inlineStr">
        <is>
          <t>Becker</t>
        </is>
      </c>
      <c r="B4">
        <f>Inputs_State!$B$1</f>
        <v/>
      </c>
      <c r="C4">
        <f>SUMIFS(tblArrivals[Points],tblArrivals[County],A4)</f>
        <v/>
      </c>
      <c r="D4">
        <f>SUMIFS(tblComplexity[Cases_Current],tblComplexity[County],A4)</f>
        <v/>
      </c>
      <c r="E4">
        <f>SUMIFS(tblComplexity[Weight_Current],tblComplexity[County],A4)</f>
        <v/>
      </c>
      <c r="F4">
        <f>IF(D4&gt;0,E4/D4,0)</f>
        <v/>
      </c>
      <c r="G4">
        <f>SUMIFS(tblComplexity[Cases_Baseline],tblComplexity[County],A4)</f>
        <v/>
      </c>
      <c r="H4">
        <f>SUMIFS(tblComplexity[Weight_Baseline],tblComplexity[County],A4)</f>
        <v/>
      </c>
      <c r="I4">
        <f>IF(G4&gt;0,H4/G4,0)</f>
        <v/>
      </c>
      <c r="J4">
        <f>IF(I4&gt;0,F4/I4,1)</f>
        <v/>
      </c>
      <c r="K4">
        <f>IFERROR(VLOOKUP(A4,tblBaseline,6,FALSE)/VLOOKUP(A4,tblBaseline,7,FALSE),0)</f>
        <v/>
      </c>
      <c r="L4">
        <f>IF(J4&gt;0,K4/J4,0)</f>
        <v/>
      </c>
      <c r="M4">
        <f>IFERROR(VLOOKUP(A4,tblBaseline,3,FALSE),0)</f>
        <v/>
      </c>
      <c r="N4">
        <f>M4*L4</f>
        <v/>
      </c>
      <c r="O4">
        <f>IF(N4&gt;0,C4/N4,0)</f>
        <v/>
      </c>
      <c r="P4">
        <f>IFERROR(VLOOKUP(A4,tblBaseline,5,FALSE),0)</f>
        <v/>
      </c>
      <c r="Q4">
        <f>P4+C4-N4</f>
        <v/>
      </c>
      <c r="R4">
        <f>IFERROR(VLOOKUP(A4,tblBaseline,4,FALSE),Inputs_State!$B$5)</f>
        <v/>
      </c>
      <c r="S4">
        <f>IF(L4&gt;0,C4/L4,0)+R4</f>
        <v/>
      </c>
      <c r="T4">
        <f>S4-M4</f>
        <v/>
      </c>
      <c r="U4">
        <f>IF(O4&gt;=Inputs_State!$B$4,"RED",IF(O4&gt;=Inputs_State!$B$3,"AMBER","GREEN"))</f>
        <v/>
      </c>
    </row>
    <row r="5">
      <c r="A5" t="inlineStr">
        <is>
          <t>Beltrami</t>
        </is>
      </c>
      <c r="B5">
        <f>Inputs_State!$B$1</f>
        <v/>
      </c>
      <c r="C5">
        <f>SUMIFS(tblArrivals[Points],tblArrivals[County],A5)</f>
        <v/>
      </c>
      <c r="D5">
        <f>SUMIFS(tblComplexity[Cases_Current],tblComplexity[County],A5)</f>
        <v/>
      </c>
      <c r="E5">
        <f>SUMIFS(tblComplexity[Weight_Current],tblComplexity[County],A5)</f>
        <v/>
      </c>
      <c r="F5">
        <f>IF(D5&gt;0,E5/D5,0)</f>
        <v/>
      </c>
      <c r="G5">
        <f>SUMIFS(tblComplexity[Cases_Baseline],tblComplexity[County],A5)</f>
        <v/>
      </c>
      <c r="H5">
        <f>SUMIFS(tblComplexity[Weight_Baseline],tblComplexity[County],A5)</f>
        <v/>
      </c>
      <c r="I5">
        <f>IF(G5&gt;0,H5/G5,0)</f>
        <v/>
      </c>
      <c r="J5">
        <f>IF(I5&gt;0,F5/I5,1)</f>
        <v/>
      </c>
      <c r="K5">
        <f>IFERROR(VLOOKUP(A5,tblBaseline,6,FALSE)/VLOOKUP(A5,tblBaseline,7,FALSE),0)</f>
        <v/>
      </c>
      <c r="L5">
        <f>IF(J5&gt;0,K5/J5,0)</f>
        <v/>
      </c>
      <c r="M5">
        <f>IFERROR(VLOOKUP(A5,tblBaseline,3,FALSE),0)</f>
        <v/>
      </c>
      <c r="N5">
        <f>M5*L5</f>
        <v/>
      </c>
      <c r="O5">
        <f>IF(N5&gt;0,C5/N5,0)</f>
        <v/>
      </c>
      <c r="P5">
        <f>IFERROR(VLOOKUP(A5,tblBaseline,5,FALSE),0)</f>
        <v/>
      </c>
      <c r="Q5">
        <f>P5+C5-N5</f>
        <v/>
      </c>
      <c r="R5">
        <f>IFERROR(VLOOKUP(A5,tblBaseline,4,FALSE),Inputs_State!$B$5)</f>
        <v/>
      </c>
      <c r="S5">
        <f>IF(L5&gt;0,C5/L5,0)+R5</f>
        <v/>
      </c>
      <c r="T5">
        <f>S5-M5</f>
        <v/>
      </c>
      <c r="U5">
        <f>IF(O5&gt;=Inputs_State!$B$4,"RED",IF(O5&gt;=Inputs_State!$B$3,"AMBER","GREEN"))</f>
        <v/>
      </c>
    </row>
    <row r="6">
      <c r="A6" t="inlineStr">
        <is>
          <t>Benton</t>
        </is>
      </c>
      <c r="B6">
        <f>Inputs_State!$B$1</f>
        <v/>
      </c>
      <c r="C6">
        <f>SUMIFS(tblArrivals[Points],tblArrivals[County],A6)</f>
        <v/>
      </c>
      <c r="D6">
        <f>SUMIFS(tblComplexity[Cases_Current],tblComplexity[County],A6)</f>
        <v/>
      </c>
      <c r="E6">
        <f>SUMIFS(tblComplexity[Weight_Current],tblComplexity[County],A6)</f>
        <v/>
      </c>
      <c r="F6">
        <f>IF(D6&gt;0,E6/D6,0)</f>
        <v/>
      </c>
      <c r="G6">
        <f>SUMIFS(tblComplexity[Cases_Baseline],tblComplexity[County],A6)</f>
        <v/>
      </c>
      <c r="H6">
        <f>SUMIFS(tblComplexity[Weight_Baseline],tblComplexity[County],A6)</f>
        <v/>
      </c>
      <c r="I6">
        <f>IF(G6&gt;0,H6/G6,0)</f>
        <v/>
      </c>
      <c r="J6">
        <f>IF(I6&gt;0,F6/I6,1)</f>
        <v/>
      </c>
      <c r="K6">
        <f>IFERROR(VLOOKUP(A6,tblBaseline,6,FALSE)/VLOOKUP(A6,tblBaseline,7,FALSE),0)</f>
        <v/>
      </c>
      <c r="L6">
        <f>IF(J6&gt;0,K6/J6,0)</f>
        <v/>
      </c>
      <c r="M6">
        <f>IFERROR(VLOOKUP(A6,tblBaseline,3,FALSE),0)</f>
        <v/>
      </c>
      <c r="N6">
        <f>M6*L6</f>
        <v/>
      </c>
      <c r="O6">
        <f>IF(N6&gt;0,C6/N6,0)</f>
        <v/>
      </c>
      <c r="P6">
        <f>IFERROR(VLOOKUP(A6,tblBaseline,5,FALSE),0)</f>
        <v/>
      </c>
      <c r="Q6">
        <f>P6+C6-N6</f>
        <v/>
      </c>
      <c r="R6">
        <f>IFERROR(VLOOKUP(A6,tblBaseline,4,FALSE),Inputs_State!$B$5)</f>
        <v/>
      </c>
      <c r="S6">
        <f>IF(L6&gt;0,C6/L6,0)+R6</f>
        <v/>
      </c>
      <c r="T6">
        <f>S6-M6</f>
        <v/>
      </c>
      <c r="U6">
        <f>IF(O6&gt;=Inputs_State!$B$4,"RED",IF(O6&gt;=Inputs_State!$B$3,"AMBER","GREEN"))</f>
        <v/>
      </c>
    </row>
    <row r="7">
      <c r="A7" t="inlineStr">
        <is>
          <t>Big Stone</t>
        </is>
      </c>
      <c r="B7">
        <f>Inputs_State!$B$1</f>
        <v/>
      </c>
      <c r="C7">
        <f>SUMIFS(tblArrivals[Points],tblArrivals[County],A7)</f>
        <v/>
      </c>
      <c r="D7">
        <f>SUMIFS(tblComplexity[Cases_Current],tblComplexity[County],A7)</f>
        <v/>
      </c>
      <c r="E7">
        <f>SUMIFS(tblComplexity[Weight_Current],tblComplexity[County],A7)</f>
        <v/>
      </c>
      <c r="F7">
        <f>IF(D7&gt;0,E7/D7,0)</f>
        <v/>
      </c>
      <c r="G7">
        <f>SUMIFS(tblComplexity[Cases_Baseline],tblComplexity[County],A7)</f>
        <v/>
      </c>
      <c r="H7">
        <f>SUMIFS(tblComplexity[Weight_Baseline],tblComplexity[County],A7)</f>
        <v/>
      </c>
      <c r="I7">
        <f>IF(G7&gt;0,H7/G7,0)</f>
        <v/>
      </c>
      <c r="J7">
        <f>IF(I7&gt;0,F7/I7,1)</f>
        <v/>
      </c>
      <c r="K7">
        <f>IFERROR(VLOOKUP(A7,tblBaseline,6,FALSE)/VLOOKUP(A7,tblBaseline,7,FALSE),0)</f>
        <v/>
      </c>
      <c r="L7">
        <f>IF(J7&gt;0,K7/J7,0)</f>
        <v/>
      </c>
      <c r="M7">
        <f>IFERROR(VLOOKUP(A7,tblBaseline,3,FALSE),0)</f>
        <v/>
      </c>
      <c r="N7">
        <f>M7*L7</f>
        <v/>
      </c>
      <c r="O7">
        <f>IF(N7&gt;0,C7/N7,0)</f>
        <v/>
      </c>
      <c r="P7">
        <f>IFERROR(VLOOKUP(A7,tblBaseline,5,FALSE),0)</f>
        <v/>
      </c>
      <c r="Q7">
        <f>P7+C7-N7</f>
        <v/>
      </c>
      <c r="R7">
        <f>IFERROR(VLOOKUP(A7,tblBaseline,4,FALSE),Inputs_State!$B$5)</f>
        <v/>
      </c>
      <c r="S7">
        <f>IF(L7&gt;0,C7/L7,0)+R7</f>
        <v/>
      </c>
      <c r="T7">
        <f>S7-M7</f>
        <v/>
      </c>
      <c r="U7">
        <f>IF(O7&gt;=Inputs_State!$B$4,"RED",IF(O7&gt;=Inputs_State!$B$3,"AMBER","GREEN"))</f>
        <v/>
      </c>
    </row>
    <row r="8">
      <c r="A8" t="inlineStr">
        <is>
          <t>Blue Earth</t>
        </is>
      </c>
      <c r="B8">
        <f>Inputs_State!$B$1</f>
        <v/>
      </c>
      <c r="C8">
        <f>SUMIFS(tblArrivals[Points],tblArrivals[County],A8)</f>
        <v/>
      </c>
      <c r="D8">
        <f>SUMIFS(tblComplexity[Cases_Current],tblComplexity[County],A8)</f>
        <v/>
      </c>
      <c r="E8">
        <f>SUMIFS(tblComplexity[Weight_Current],tblComplexity[County],A8)</f>
        <v/>
      </c>
      <c r="F8">
        <f>IF(D8&gt;0,E8/D8,0)</f>
        <v/>
      </c>
      <c r="G8">
        <f>SUMIFS(tblComplexity[Cases_Baseline],tblComplexity[County],A8)</f>
        <v/>
      </c>
      <c r="H8">
        <f>SUMIFS(tblComplexity[Weight_Baseline],tblComplexity[County],A8)</f>
        <v/>
      </c>
      <c r="I8">
        <f>IF(G8&gt;0,H8/G8,0)</f>
        <v/>
      </c>
      <c r="J8">
        <f>IF(I8&gt;0,F8/I8,1)</f>
        <v/>
      </c>
      <c r="K8">
        <f>IFERROR(VLOOKUP(A8,tblBaseline,6,FALSE)/VLOOKUP(A8,tblBaseline,7,FALSE),0)</f>
        <v/>
      </c>
      <c r="L8">
        <f>IF(J8&gt;0,K8/J8,0)</f>
        <v/>
      </c>
      <c r="M8">
        <f>IFERROR(VLOOKUP(A8,tblBaseline,3,FALSE),0)</f>
        <v/>
      </c>
      <c r="N8">
        <f>M8*L8</f>
        <v/>
      </c>
      <c r="O8">
        <f>IF(N8&gt;0,C8/N8,0)</f>
        <v/>
      </c>
      <c r="P8">
        <f>IFERROR(VLOOKUP(A8,tblBaseline,5,FALSE),0)</f>
        <v/>
      </c>
      <c r="Q8">
        <f>P8+C8-N8</f>
        <v/>
      </c>
      <c r="R8">
        <f>IFERROR(VLOOKUP(A8,tblBaseline,4,FALSE),Inputs_State!$B$5)</f>
        <v/>
      </c>
      <c r="S8">
        <f>IF(L8&gt;0,C8/L8,0)+R8</f>
        <v/>
      </c>
      <c r="T8">
        <f>S8-M8</f>
        <v/>
      </c>
      <c r="U8">
        <f>IF(O8&gt;=Inputs_State!$B$4,"RED",IF(O8&gt;=Inputs_State!$B$3,"AMBER","GREEN"))</f>
        <v/>
      </c>
    </row>
    <row r="9">
      <c r="A9" t="inlineStr">
        <is>
          <t>Brown</t>
        </is>
      </c>
      <c r="B9">
        <f>Inputs_State!$B$1</f>
        <v/>
      </c>
      <c r="C9">
        <f>SUMIFS(tblArrivals[Points],tblArrivals[County],A9)</f>
        <v/>
      </c>
      <c r="D9">
        <f>SUMIFS(tblComplexity[Cases_Current],tblComplexity[County],A9)</f>
        <v/>
      </c>
      <c r="E9">
        <f>SUMIFS(tblComplexity[Weight_Current],tblComplexity[County],A9)</f>
        <v/>
      </c>
      <c r="F9">
        <f>IF(D9&gt;0,E9/D9,0)</f>
        <v/>
      </c>
      <c r="G9">
        <f>SUMIFS(tblComplexity[Cases_Baseline],tblComplexity[County],A9)</f>
        <v/>
      </c>
      <c r="H9">
        <f>SUMIFS(tblComplexity[Weight_Baseline],tblComplexity[County],A9)</f>
        <v/>
      </c>
      <c r="I9">
        <f>IF(G9&gt;0,H9/G9,0)</f>
        <v/>
      </c>
      <c r="J9">
        <f>IF(I9&gt;0,F9/I9,1)</f>
        <v/>
      </c>
      <c r="K9">
        <f>IFERROR(VLOOKUP(A9,tblBaseline,6,FALSE)/VLOOKUP(A9,tblBaseline,7,FALSE),0)</f>
        <v/>
      </c>
      <c r="L9">
        <f>IF(J9&gt;0,K9/J9,0)</f>
        <v/>
      </c>
      <c r="M9">
        <f>IFERROR(VLOOKUP(A9,tblBaseline,3,FALSE),0)</f>
        <v/>
      </c>
      <c r="N9">
        <f>M9*L9</f>
        <v/>
      </c>
      <c r="O9">
        <f>IF(N9&gt;0,C9/N9,0)</f>
        <v/>
      </c>
      <c r="P9">
        <f>IFERROR(VLOOKUP(A9,tblBaseline,5,FALSE),0)</f>
        <v/>
      </c>
      <c r="Q9">
        <f>P9+C9-N9</f>
        <v/>
      </c>
      <c r="R9">
        <f>IFERROR(VLOOKUP(A9,tblBaseline,4,FALSE),Inputs_State!$B$5)</f>
        <v/>
      </c>
      <c r="S9">
        <f>IF(L9&gt;0,C9/L9,0)+R9</f>
        <v/>
      </c>
      <c r="T9">
        <f>S9-M9</f>
        <v/>
      </c>
      <c r="U9">
        <f>IF(O9&gt;=Inputs_State!$B$4,"RED",IF(O9&gt;=Inputs_State!$B$3,"AMBER","GREEN"))</f>
        <v/>
      </c>
    </row>
    <row r="10">
      <c r="A10" t="inlineStr">
        <is>
          <t>Carlton</t>
        </is>
      </c>
      <c r="B10">
        <f>Inputs_State!$B$1</f>
        <v/>
      </c>
      <c r="C10">
        <f>SUMIFS(tblArrivals[Points],tblArrivals[County],A10)</f>
        <v/>
      </c>
      <c r="D10">
        <f>SUMIFS(tblComplexity[Cases_Current],tblComplexity[County],A10)</f>
        <v/>
      </c>
      <c r="E10">
        <f>SUMIFS(tblComplexity[Weight_Current],tblComplexity[County],A10)</f>
        <v/>
      </c>
      <c r="F10">
        <f>IF(D10&gt;0,E10/D10,0)</f>
        <v/>
      </c>
      <c r="G10">
        <f>SUMIFS(tblComplexity[Cases_Baseline],tblComplexity[County],A10)</f>
        <v/>
      </c>
      <c r="H10">
        <f>SUMIFS(tblComplexity[Weight_Baseline],tblComplexity[County],A10)</f>
        <v/>
      </c>
      <c r="I10">
        <f>IF(G10&gt;0,H10/G10,0)</f>
        <v/>
      </c>
      <c r="J10">
        <f>IF(I10&gt;0,F10/I10,1)</f>
        <v/>
      </c>
      <c r="K10">
        <f>IFERROR(VLOOKUP(A10,tblBaseline,6,FALSE)/VLOOKUP(A10,tblBaseline,7,FALSE),0)</f>
        <v/>
      </c>
      <c r="L10">
        <f>IF(J10&gt;0,K10/J10,0)</f>
        <v/>
      </c>
      <c r="M10">
        <f>IFERROR(VLOOKUP(A10,tblBaseline,3,FALSE),0)</f>
        <v/>
      </c>
      <c r="N10">
        <f>M10*L10</f>
        <v/>
      </c>
      <c r="O10">
        <f>IF(N10&gt;0,C10/N10,0)</f>
        <v/>
      </c>
      <c r="P10">
        <f>IFERROR(VLOOKUP(A10,tblBaseline,5,FALSE),0)</f>
        <v/>
      </c>
      <c r="Q10">
        <f>P10+C10-N10</f>
        <v/>
      </c>
      <c r="R10">
        <f>IFERROR(VLOOKUP(A10,tblBaseline,4,FALSE),Inputs_State!$B$5)</f>
        <v/>
      </c>
      <c r="S10">
        <f>IF(L10&gt;0,C10/L10,0)+R10</f>
        <v/>
      </c>
      <c r="T10">
        <f>S10-M10</f>
        <v/>
      </c>
      <c r="U10">
        <f>IF(O10&gt;=Inputs_State!$B$4,"RED",IF(O10&gt;=Inputs_State!$B$3,"AMBER","GREEN"))</f>
        <v/>
      </c>
    </row>
    <row r="11">
      <c r="A11" t="inlineStr">
        <is>
          <t>Carver</t>
        </is>
      </c>
      <c r="B11">
        <f>Inputs_State!$B$1</f>
        <v/>
      </c>
      <c r="C11">
        <f>SUMIFS(tblArrivals[Points],tblArrivals[County],A11)</f>
        <v/>
      </c>
      <c r="D11">
        <f>SUMIFS(tblComplexity[Cases_Current],tblComplexity[County],A11)</f>
        <v/>
      </c>
      <c r="E11">
        <f>SUMIFS(tblComplexity[Weight_Current],tblComplexity[County],A11)</f>
        <v/>
      </c>
      <c r="F11">
        <f>IF(D11&gt;0,E11/D11,0)</f>
        <v/>
      </c>
      <c r="G11">
        <f>SUMIFS(tblComplexity[Cases_Baseline],tblComplexity[County],A11)</f>
        <v/>
      </c>
      <c r="H11">
        <f>SUMIFS(tblComplexity[Weight_Baseline],tblComplexity[County],A11)</f>
        <v/>
      </c>
      <c r="I11">
        <f>IF(G11&gt;0,H11/G11,0)</f>
        <v/>
      </c>
      <c r="J11">
        <f>IF(I11&gt;0,F11/I11,1)</f>
        <v/>
      </c>
      <c r="K11">
        <f>IFERROR(VLOOKUP(A11,tblBaseline,6,FALSE)/VLOOKUP(A11,tblBaseline,7,FALSE),0)</f>
        <v/>
      </c>
      <c r="L11">
        <f>IF(J11&gt;0,K11/J11,0)</f>
        <v/>
      </c>
      <c r="M11">
        <f>IFERROR(VLOOKUP(A11,tblBaseline,3,FALSE),0)</f>
        <v/>
      </c>
      <c r="N11">
        <f>M11*L11</f>
        <v/>
      </c>
      <c r="O11">
        <f>IF(N11&gt;0,C11/N11,0)</f>
        <v/>
      </c>
      <c r="P11">
        <f>IFERROR(VLOOKUP(A11,tblBaseline,5,FALSE),0)</f>
        <v/>
      </c>
      <c r="Q11">
        <f>P11+C11-N11</f>
        <v/>
      </c>
      <c r="R11">
        <f>IFERROR(VLOOKUP(A11,tblBaseline,4,FALSE),Inputs_State!$B$5)</f>
        <v/>
      </c>
      <c r="S11">
        <f>IF(L11&gt;0,C11/L11,0)+R11</f>
        <v/>
      </c>
      <c r="T11">
        <f>S11-M11</f>
        <v/>
      </c>
      <c r="U11">
        <f>IF(O11&gt;=Inputs_State!$B$4,"RED",IF(O11&gt;=Inputs_State!$B$3,"AMBER","GREEN"))</f>
        <v/>
      </c>
    </row>
    <row r="12">
      <c r="A12" t="inlineStr">
        <is>
          <t>Cass</t>
        </is>
      </c>
      <c r="B12">
        <f>Inputs_State!$B$1</f>
        <v/>
      </c>
      <c r="C12">
        <f>SUMIFS(tblArrivals[Points],tblArrivals[County],A12)</f>
        <v/>
      </c>
      <c r="D12">
        <f>SUMIFS(tblComplexity[Cases_Current],tblComplexity[County],A12)</f>
        <v/>
      </c>
      <c r="E12">
        <f>SUMIFS(tblComplexity[Weight_Current],tblComplexity[County],A12)</f>
        <v/>
      </c>
      <c r="F12">
        <f>IF(D12&gt;0,E12/D12,0)</f>
        <v/>
      </c>
      <c r="G12">
        <f>SUMIFS(tblComplexity[Cases_Baseline],tblComplexity[County],A12)</f>
        <v/>
      </c>
      <c r="H12">
        <f>SUMIFS(tblComplexity[Weight_Baseline],tblComplexity[County],A12)</f>
        <v/>
      </c>
      <c r="I12">
        <f>IF(G12&gt;0,H12/G12,0)</f>
        <v/>
      </c>
      <c r="J12">
        <f>IF(I12&gt;0,F12/I12,1)</f>
        <v/>
      </c>
      <c r="K12">
        <f>IFERROR(VLOOKUP(A12,tblBaseline,6,FALSE)/VLOOKUP(A12,tblBaseline,7,FALSE),0)</f>
        <v/>
      </c>
      <c r="L12">
        <f>IF(J12&gt;0,K12/J12,0)</f>
        <v/>
      </c>
      <c r="M12">
        <f>IFERROR(VLOOKUP(A12,tblBaseline,3,FALSE),0)</f>
        <v/>
      </c>
      <c r="N12">
        <f>M12*L12</f>
        <v/>
      </c>
      <c r="O12">
        <f>IF(N12&gt;0,C12/N12,0)</f>
        <v/>
      </c>
      <c r="P12">
        <f>IFERROR(VLOOKUP(A12,tblBaseline,5,FALSE),0)</f>
        <v/>
      </c>
      <c r="Q12">
        <f>P12+C12-N12</f>
        <v/>
      </c>
      <c r="R12">
        <f>IFERROR(VLOOKUP(A12,tblBaseline,4,FALSE),Inputs_State!$B$5)</f>
        <v/>
      </c>
      <c r="S12">
        <f>IF(L12&gt;0,C12/L12,0)+R12</f>
        <v/>
      </c>
      <c r="T12">
        <f>S12-M12</f>
        <v/>
      </c>
      <c r="U12">
        <f>IF(O12&gt;=Inputs_State!$B$4,"RED",IF(O12&gt;=Inputs_State!$B$3,"AMBER","GREEN"))</f>
        <v/>
      </c>
    </row>
    <row r="13">
      <c r="A13" t="inlineStr">
        <is>
          <t>Chippewa</t>
        </is>
      </c>
      <c r="B13">
        <f>Inputs_State!$B$1</f>
        <v/>
      </c>
      <c r="C13">
        <f>SUMIFS(tblArrivals[Points],tblArrivals[County],A13)</f>
        <v/>
      </c>
      <c r="D13">
        <f>SUMIFS(tblComplexity[Cases_Current],tblComplexity[County],A13)</f>
        <v/>
      </c>
      <c r="E13">
        <f>SUMIFS(tblComplexity[Weight_Current],tblComplexity[County],A13)</f>
        <v/>
      </c>
      <c r="F13">
        <f>IF(D13&gt;0,E13/D13,0)</f>
        <v/>
      </c>
      <c r="G13">
        <f>SUMIFS(tblComplexity[Cases_Baseline],tblComplexity[County],A13)</f>
        <v/>
      </c>
      <c r="H13">
        <f>SUMIFS(tblComplexity[Weight_Baseline],tblComplexity[County],A13)</f>
        <v/>
      </c>
      <c r="I13">
        <f>IF(G13&gt;0,H13/G13,0)</f>
        <v/>
      </c>
      <c r="J13">
        <f>IF(I13&gt;0,F13/I13,1)</f>
        <v/>
      </c>
      <c r="K13">
        <f>IFERROR(VLOOKUP(A13,tblBaseline,6,FALSE)/VLOOKUP(A13,tblBaseline,7,FALSE),0)</f>
        <v/>
      </c>
      <c r="L13">
        <f>IF(J13&gt;0,K13/J13,0)</f>
        <v/>
      </c>
      <c r="M13">
        <f>IFERROR(VLOOKUP(A13,tblBaseline,3,FALSE),0)</f>
        <v/>
      </c>
      <c r="N13">
        <f>M13*L13</f>
        <v/>
      </c>
      <c r="O13">
        <f>IF(N13&gt;0,C13/N13,0)</f>
        <v/>
      </c>
      <c r="P13">
        <f>IFERROR(VLOOKUP(A13,tblBaseline,5,FALSE),0)</f>
        <v/>
      </c>
      <c r="Q13">
        <f>P13+C13-N13</f>
        <v/>
      </c>
      <c r="R13">
        <f>IFERROR(VLOOKUP(A13,tblBaseline,4,FALSE),Inputs_State!$B$5)</f>
        <v/>
      </c>
      <c r="S13">
        <f>IF(L13&gt;0,C13/L13,0)+R13</f>
        <v/>
      </c>
      <c r="T13">
        <f>S13-M13</f>
        <v/>
      </c>
      <c r="U13">
        <f>IF(O13&gt;=Inputs_State!$B$4,"RED",IF(O13&gt;=Inputs_State!$B$3,"AMBER","GREEN"))</f>
        <v/>
      </c>
    </row>
    <row r="14">
      <c r="A14" t="inlineStr">
        <is>
          <t>Chisago</t>
        </is>
      </c>
      <c r="B14">
        <f>Inputs_State!$B$1</f>
        <v/>
      </c>
      <c r="C14">
        <f>SUMIFS(tblArrivals[Points],tblArrivals[County],A14)</f>
        <v/>
      </c>
      <c r="D14">
        <f>SUMIFS(tblComplexity[Cases_Current],tblComplexity[County],A14)</f>
        <v/>
      </c>
      <c r="E14">
        <f>SUMIFS(tblComplexity[Weight_Current],tblComplexity[County],A14)</f>
        <v/>
      </c>
      <c r="F14">
        <f>IF(D14&gt;0,E14/D14,0)</f>
        <v/>
      </c>
      <c r="G14">
        <f>SUMIFS(tblComplexity[Cases_Baseline],tblComplexity[County],A14)</f>
        <v/>
      </c>
      <c r="H14">
        <f>SUMIFS(tblComplexity[Weight_Baseline],tblComplexity[County],A14)</f>
        <v/>
      </c>
      <c r="I14">
        <f>IF(G14&gt;0,H14/G14,0)</f>
        <v/>
      </c>
      <c r="J14">
        <f>IF(I14&gt;0,F14/I14,1)</f>
        <v/>
      </c>
      <c r="K14">
        <f>IFERROR(VLOOKUP(A14,tblBaseline,6,FALSE)/VLOOKUP(A14,tblBaseline,7,FALSE),0)</f>
        <v/>
      </c>
      <c r="L14">
        <f>IF(J14&gt;0,K14/J14,0)</f>
        <v/>
      </c>
      <c r="M14">
        <f>IFERROR(VLOOKUP(A14,tblBaseline,3,FALSE),0)</f>
        <v/>
      </c>
      <c r="N14">
        <f>M14*L14</f>
        <v/>
      </c>
      <c r="O14">
        <f>IF(N14&gt;0,C14/N14,0)</f>
        <v/>
      </c>
      <c r="P14">
        <f>IFERROR(VLOOKUP(A14,tblBaseline,5,FALSE),0)</f>
        <v/>
      </c>
      <c r="Q14">
        <f>P14+C14-N14</f>
        <v/>
      </c>
      <c r="R14">
        <f>IFERROR(VLOOKUP(A14,tblBaseline,4,FALSE),Inputs_State!$B$5)</f>
        <v/>
      </c>
      <c r="S14">
        <f>IF(L14&gt;0,C14/L14,0)+R14</f>
        <v/>
      </c>
      <c r="T14">
        <f>S14-M14</f>
        <v/>
      </c>
      <c r="U14">
        <f>IF(O14&gt;=Inputs_State!$B$4,"RED",IF(O14&gt;=Inputs_State!$B$3,"AMBER","GREEN"))</f>
        <v/>
      </c>
    </row>
    <row r="15">
      <c r="A15" t="inlineStr">
        <is>
          <t>Clay</t>
        </is>
      </c>
      <c r="B15">
        <f>Inputs_State!$B$1</f>
        <v/>
      </c>
      <c r="C15">
        <f>SUMIFS(tblArrivals[Points],tblArrivals[County],A15)</f>
        <v/>
      </c>
      <c r="D15">
        <f>SUMIFS(tblComplexity[Cases_Current],tblComplexity[County],A15)</f>
        <v/>
      </c>
      <c r="E15">
        <f>SUMIFS(tblComplexity[Weight_Current],tblComplexity[County],A15)</f>
        <v/>
      </c>
      <c r="F15">
        <f>IF(D15&gt;0,E15/D15,0)</f>
        <v/>
      </c>
      <c r="G15">
        <f>SUMIFS(tblComplexity[Cases_Baseline],tblComplexity[County],A15)</f>
        <v/>
      </c>
      <c r="H15">
        <f>SUMIFS(tblComplexity[Weight_Baseline],tblComplexity[County],A15)</f>
        <v/>
      </c>
      <c r="I15">
        <f>IF(G15&gt;0,H15/G15,0)</f>
        <v/>
      </c>
      <c r="J15">
        <f>IF(I15&gt;0,F15/I15,1)</f>
        <v/>
      </c>
      <c r="K15">
        <f>IFERROR(VLOOKUP(A15,tblBaseline,6,FALSE)/VLOOKUP(A15,tblBaseline,7,FALSE),0)</f>
        <v/>
      </c>
      <c r="L15">
        <f>IF(J15&gt;0,K15/J15,0)</f>
        <v/>
      </c>
      <c r="M15">
        <f>IFERROR(VLOOKUP(A15,tblBaseline,3,FALSE),0)</f>
        <v/>
      </c>
      <c r="N15">
        <f>M15*L15</f>
        <v/>
      </c>
      <c r="O15">
        <f>IF(N15&gt;0,C15/N15,0)</f>
        <v/>
      </c>
      <c r="P15">
        <f>IFERROR(VLOOKUP(A15,tblBaseline,5,FALSE),0)</f>
        <v/>
      </c>
      <c r="Q15">
        <f>P15+C15-N15</f>
        <v/>
      </c>
      <c r="R15">
        <f>IFERROR(VLOOKUP(A15,tblBaseline,4,FALSE),Inputs_State!$B$5)</f>
        <v/>
      </c>
      <c r="S15">
        <f>IF(L15&gt;0,C15/L15,0)+R15</f>
        <v/>
      </c>
      <c r="T15">
        <f>S15-M15</f>
        <v/>
      </c>
      <c r="U15">
        <f>IF(O15&gt;=Inputs_State!$B$4,"RED",IF(O15&gt;=Inputs_State!$B$3,"AMBER","GREEN"))</f>
        <v/>
      </c>
    </row>
    <row r="16">
      <c r="A16" t="inlineStr">
        <is>
          <t>Clearwater</t>
        </is>
      </c>
      <c r="B16">
        <f>Inputs_State!$B$1</f>
        <v/>
      </c>
      <c r="C16">
        <f>SUMIFS(tblArrivals[Points],tblArrivals[County],A16)</f>
        <v/>
      </c>
      <c r="D16">
        <f>SUMIFS(tblComplexity[Cases_Current],tblComplexity[County],A16)</f>
        <v/>
      </c>
      <c r="E16">
        <f>SUMIFS(tblComplexity[Weight_Current],tblComplexity[County],A16)</f>
        <v/>
      </c>
      <c r="F16">
        <f>IF(D16&gt;0,E16/D16,0)</f>
        <v/>
      </c>
      <c r="G16">
        <f>SUMIFS(tblComplexity[Cases_Baseline],tblComplexity[County],A16)</f>
        <v/>
      </c>
      <c r="H16">
        <f>SUMIFS(tblComplexity[Weight_Baseline],tblComplexity[County],A16)</f>
        <v/>
      </c>
      <c r="I16">
        <f>IF(G16&gt;0,H16/G16,0)</f>
        <v/>
      </c>
      <c r="J16">
        <f>IF(I16&gt;0,F16/I16,1)</f>
        <v/>
      </c>
      <c r="K16">
        <f>IFERROR(VLOOKUP(A16,tblBaseline,6,FALSE)/VLOOKUP(A16,tblBaseline,7,FALSE),0)</f>
        <v/>
      </c>
      <c r="L16">
        <f>IF(J16&gt;0,K16/J16,0)</f>
        <v/>
      </c>
      <c r="M16">
        <f>IFERROR(VLOOKUP(A16,tblBaseline,3,FALSE),0)</f>
        <v/>
      </c>
      <c r="N16">
        <f>M16*L16</f>
        <v/>
      </c>
      <c r="O16">
        <f>IF(N16&gt;0,C16/N16,0)</f>
        <v/>
      </c>
      <c r="P16">
        <f>IFERROR(VLOOKUP(A16,tblBaseline,5,FALSE),0)</f>
        <v/>
      </c>
      <c r="Q16">
        <f>P16+C16-N16</f>
        <v/>
      </c>
      <c r="R16">
        <f>IFERROR(VLOOKUP(A16,tblBaseline,4,FALSE),Inputs_State!$B$5)</f>
        <v/>
      </c>
      <c r="S16">
        <f>IF(L16&gt;0,C16/L16,0)+R16</f>
        <v/>
      </c>
      <c r="T16">
        <f>S16-M16</f>
        <v/>
      </c>
      <c r="U16">
        <f>IF(O16&gt;=Inputs_State!$B$4,"RED",IF(O16&gt;=Inputs_State!$B$3,"AMBER","GREEN"))</f>
        <v/>
      </c>
    </row>
    <row r="17">
      <c r="A17" t="inlineStr">
        <is>
          <t>Cook</t>
        </is>
      </c>
      <c r="B17">
        <f>Inputs_State!$B$1</f>
        <v/>
      </c>
      <c r="C17">
        <f>SUMIFS(tblArrivals[Points],tblArrivals[County],A17)</f>
        <v/>
      </c>
      <c r="D17">
        <f>SUMIFS(tblComplexity[Cases_Current],tblComplexity[County],A17)</f>
        <v/>
      </c>
      <c r="E17">
        <f>SUMIFS(tblComplexity[Weight_Current],tblComplexity[County],A17)</f>
        <v/>
      </c>
      <c r="F17">
        <f>IF(D17&gt;0,E17/D17,0)</f>
        <v/>
      </c>
      <c r="G17">
        <f>SUMIFS(tblComplexity[Cases_Baseline],tblComplexity[County],A17)</f>
        <v/>
      </c>
      <c r="H17">
        <f>SUMIFS(tblComplexity[Weight_Baseline],tblComplexity[County],A17)</f>
        <v/>
      </c>
      <c r="I17">
        <f>IF(G17&gt;0,H17/G17,0)</f>
        <v/>
      </c>
      <c r="J17">
        <f>IF(I17&gt;0,F17/I17,1)</f>
        <v/>
      </c>
      <c r="K17">
        <f>IFERROR(VLOOKUP(A17,tblBaseline,6,FALSE)/VLOOKUP(A17,tblBaseline,7,FALSE),0)</f>
        <v/>
      </c>
      <c r="L17">
        <f>IF(J17&gt;0,K17/J17,0)</f>
        <v/>
      </c>
      <c r="M17">
        <f>IFERROR(VLOOKUP(A17,tblBaseline,3,FALSE),0)</f>
        <v/>
      </c>
      <c r="N17">
        <f>M17*L17</f>
        <v/>
      </c>
      <c r="O17">
        <f>IF(N17&gt;0,C17/N17,0)</f>
        <v/>
      </c>
      <c r="P17">
        <f>IFERROR(VLOOKUP(A17,tblBaseline,5,FALSE),0)</f>
        <v/>
      </c>
      <c r="Q17">
        <f>P17+C17-N17</f>
        <v/>
      </c>
      <c r="R17">
        <f>IFERROR(VLOOKUP(A17,tblBaseline,4,FALSE),Inputs_State!$B$5)</f>
        <v/>
      </c>
      <c r="S17">
        <f>IF(L17&gt;0,C17/L17,0)+R17</f>
        <v/>
      </c>
      <c r="T17">
        <f>S17-M17</f>
        <v/>
      </c>
      <c r="U17">
        <f>IF(O17&gt;=Inputs_State!$B$4,"RED",IF(O17&gt;=Inputs_State!$B$3,"AMBER","GREEN"))</f>
        <v/>
      </c>
    </row>
    <row r="18">
      <c r="A18" t="inlineStr">
        <is>
          <t>Cottonwood</t>
        </is>
      </c>
      <c r="B18">
        <f>Inputs_State!$B$1</f>
        <v/>
      </c>
      <c r="C18">
        <f>SUMIFS(tblArrivals[Points],tblArrivals[County],A18)</f>
        <v/>
      </c>
      <c r="D18">
        <f>SUMIFS(tblComplexity[Cases_Current],tblComplexity[County],A18)</f>
        <v/>
      </c>
      <c r="E18">
        <f>SUMIFS(tblComplexity[Weight_Current],tblComplexity[County],A18)</f>
        <v/>
      </c>
      <c r="F18">
        <f>IF(D18&gt;0,E18/D18,0)</f>
        <v/>
      </c>
      <c r="G18">
        <f>SUMIFS(tblComplexity[Cases_Baseline],tblComplexity[County],A18)</f>
        <v/>
      </c>
      <c r="H18">
        <f>SUMIFS(tblComplexity[Weight_Baseline],tblComplexity[County],A18)</f>
        <v/>
      </c>
      <c r="I18">
        <f>IF(G18&gt;0,H18/G18,0)</f>
        <v/>
      </c>
      <c r="J18">
        <f>IF(I18&gt;0,F18/I18,1)</f>
        <v/>
      </c>
      <c r="K18">
        <f>IFERROR(VLOOKUP(A18,tblBaseline,6,FALSE)/VLOOKUP(A18,tblBaseline,7,FALSE),0)</f>
        <v/>
      </c>
      <c r="L18">
        <f>IF(J18&gt;0,K18/J18,0)</f>
        <v/>
      </c>
      <c r="M18">
        <f>IFERROR(VLOOKUP(A18,tblBaseline,3,FALSE),0)</f>
        <v/>
      </c>
      <c r="N18">
        <f>M18*L18</f>
        <v/>
      </c>
      <c r="O18">
        <f>IF(N18&gt;0,C18/N18,0)</f>
        <v/>
      </c>
      <c r="P18">
        <f>IFERROR(VLOOKUP(A18,tblBaseline,5,FALSE),0)</f>
        <v/>
      </c>
      <c r="Q18">
        <f>P18+C18-N18</f>
        <v/>
      </c>
      <c r="R18">
        <f>IFERROR(VLOOKUP(A18,tblBaseline,4,FALSE),Inputs_State!$B$5)</f>
        <v/>
      </c>
      <c r="S18">
        <f>IF(L18&gt;0,C18/L18,0)+R18</f>
        <v/>
      </c>
      <c r="T18">
        <f>S18-M18</f>
        <v/>
      </c>
      <c r="U18">
        <f>IF(O18&gt;=Inputs_State!$B$4,"RED",IF(O18&gt;=Inputs_State!$B$3,"AMBER","GREEN"))</f>
        <v/>
      </c>
    </row>
    <row r="19">
      <c r="A19" t="inlineStr">
        <is>
          <t>Crow Wing</t>
        </is>
      </c>
      <c r="B19">
        <f>Inputs_State!$B$1</f>
        <v/>
      </c>
      <c r="C19">
        <f>SUMIFS(tblArrivals[Points],tblArrivals[County],A19)</f>
        <v/>
      </c>
      <c r="D19">
        <f>SUMIFS(tblComplexity[Cases_Current],tblComplexity[County],A19)</f>
        <v/>
      </c>
      <c r="E19">
        <f>SUMIFS(tblComplexity[Weight_Current],tblComplexity[County],A19)</f>
        <v/>
      </c>
      <c r="F19">
        <f>IF(D19&gt;0,E19/D19,0)</f>
        <v/>
      </c>
      <c r="G19">
        <f>SUMIFS(tblComplexity[Cases_Baseline],tblComplexity[County],A19)</f>
        <v/>
      </c>
      <c r="H19">
        <f>SUMIFS(tblComplexity[Weight_Baseline],tblComplexity[County],A19)</f>
        <v/>
      </c>
      <c r="I19">
        <f>IF(G19&gt;0,H19/G19,0)</f>
        <v/>
      </c>
      <c r="J19">
        <f>IF(I19&gt;0,F19/I19,1)</f>
        <v/>
      </c>
      <c r="K19">
        <f>IFERROR(VLOOKUP(A19,tblBaseline,6,FALSE)/VLOOKUP(A19,tblBaseline,7,FALSE),0)</f>
        <v/>
      </c>
      <c r="L19">
        <f>IF(J19&gt;0,K19/J19,0)</f>
        <v/>
      </c>
      <c r="M19">
        <f>IFERROR(VLOOKUP(A19,tblBaseline,3,FALSE),0)</f>
        <v/>
      </c>
      <c r="N19">
        <f>M19*L19</f>
        <v/>
      </c>
      <c r="O19">
        <f>IF(N19&gt;0,C19/N19,0)</f>
        <v/>
      </c>
      <c r="P19">
        <f>IFERROR(VLOOKUP(A19,tblBaseline,5,FALSE),0)</f>
        <v/>
      </c>
      <c r="Q19">
        <f>P19+C19-N19</f>
        <v/>
      </c>
      <c r="R19">
        <f>IFERROR(VLOOKUP(A19,tblBaseline,4,FALSE),Inputs_State!$B$5)</f>
        <v/>
      </c>
      <c r="S19">
        <f>IF(L19&gt;0,C19/L19,0)+R19</f>
        <v/>
      </c>
      <c r="T19">
        <f>S19-M19</f>
        <v/>
      </c>
      <c r="U19">
        <f>IF(O19&gt;=Inputs_State!$B$4,"RED",IF(O19&gt;=Inputs_State!$B$3,"AMBER","GREEN"))</f>
        <v/>
      </c>
    </row>
    <row r="20">
      <c r="A20" t="inlineStr">
        <is>
          <t>Dakota</t>
        </is>
      </c>
      <c r="B20">
        <f>Inputs_State!$B$1</f>
        <v/>
      </c>
      <c r="C20">
        <f>SUMIFS(tblArrivals[Points],tblArrivals[County],A20)</f>
        <v/>
      </c>
      <c r="D20">
        <f>SUMIFS(tblComplexity[Cases_Current],tblComplexity[County],A20)</f>
        <v/>
      </c>
      <c r="E20">
        <f>SUMIFS(tblComplexity[Weight_Current],tblComplexity[County],A20)</f>
        <v/>
      </c>
      <c r="F20">
        <f>IF(D20&gt;0,E20/D20,0)</f>
        <v/>
      </c>
      <c r="G20">
        <f>SUMIFS(tblComplexity[Cases_Baseline],tblComplexity[County],A20)</f>
        <v/>
      </c>
      <c r="H20">
        <f>SUMIFS(tblComplexity[Weight_Baseline],tblComplexity[County],A20)</f>
        <v/>
      </c>
      <c r="I20">
        <f>IF(G20&gt;0,H20/G20,0)</f>
        <v/>
      </c>
      <c r="J20">
        <f>IF(I20&gt;0,F20/I20,1)</f>
        <v/>
      </c>
      <c r="K20">
        <f>IFERROR(VLOOKUP(A20,tblBaseline,6,FALSE)/VLOOKUP(A20,tblBaseline,7,FALSE),0)</f>
        <v/>
      </c>
      <c r="L20">
        <f>IF(J20&gt;0,K20/J20,0)</f>
        <v/>
      </c>
      <c r="M20">
        <f>IFERROR(VLOOKUP(A20,tblBaseline,3,FALSE),0)</f>
        <v/>
      </c>
      <c r="N20">
        <f>M20*L20</f>
        <v/>
      </c>
      <c r="O20">
        <f>IF(N20&gt;0,C20/N20,0)</f>
        <v/>
      </c>
      <c r="P20">
        <f>IFERROR(VLOOKUP(A20,tblBaseline,5,FALSE),0)</f>
        <v/>
      </c>
      <c r="Q20">
        <f>P20+C20-N20</f>
        <v/>
      </c>
      <c r="R20">
        <f>IFERROR(VLOOKUP(A20,tblBaseline,4,FALSE),Inputs_State!$B$5)</f>
        <v/>
      </c>
      <c r="S20">
        <f>IF(L20&gt;0,C20/L20,0)+R20</f>
        <v/>
      </c>
      <c r="T20">
        <f>S20-M20</f>
        <v/>
      </c>
      <c r="U20">
        <f>IF(O20&gt;=Inputs_State!$B$4,"RED",IF(O20&gt;=Inputs_State!$B$3,"AMBER","GREEN"))</f>
        <v/>
      </c>
    </row>
    <row r="21">
      <c r="A21" t="inlineStr">
        <is>
          <t>Dodge</t>
        </is>
      </c>
      <c r="B21">
        <f>Inputs_State!$B$1</f>
        <v/>
      </c>
      <c r="C21">
        <f>SUMIFS(tblArrivals[Points],tblArrivals[County],A21)</f>
        <v/>
      </c>
      <c r="D21">
        <f>SUMIFS(tblComplexity[Cases_Current],tblComplexity[County],A21)</f>
        <v/>
      </c>
      <c r="E21">
        <f>SUMIFS(tblComplexity[Weight_Current],tblComplexity[County],A21)</f>
        <v/>
      </c>
      <c r="F21">
        <f>IF(D21&gt;0,E21/D21,0)</f>
        <v/>
      </c>
      <c r="G21">
        <f>SUMIFS(tblComplexity[Cases_Baseline],tblComplexity[County],A21)</f>
        <v/>
      </c>
      <c r="H21">
        <f>SUMIFS(tblComplexity[Weight_Baseline],tblComplexity[County],A21)</f>
        <v/>
      </c>
      <c r="I21">
        <f>IF(G21&gt;0,H21/G21,0)</f>
        <v/>
      </c>
      <c r="J21">
        <f>IF(I21&gt;0,F21/I21,1)</f>
        <v/>
      </c>
      <c r="K21">
        <f>IFERROR(VLOOKUP(A21,tblBaseline,6,FALSE)/VLOOKUP(A21,tblBaseline,7,FALSE),0)</f>
        <v/>
      </c>
      <c r="L21">
        <f>IF(J21&gt;0,K21/J21,0)</f>
        <v/>
      </c>
      <c r="M21">
        <f>IFERROR(VLOOKUP(A21,tblBaseline,3,FALSE),0)</f>
        <v/>
      </c>
      <c r="N21">
        <f>M21*L21</f>
        <v/>
      </c>
      <c r="O21">
        <f>IF(N21&gt;0,C21/N21,0)</f>
        <v/>
      </c>
      <c r="P21">
        <f>IFERROR(VLOOKUP(A21,tblBaseline,5,FALSE),0)</f>
        <v/>
      </c>
      <c r="Q21">
        <f>P21+C21-N21</f>
        <v/>
      </c>
      <c r="R21">
        <f>IFERROR(VLOOKUP(A21,tblBaseline,4,FALSE),Inputs_State!$B$5)</f>
        <v/>
      </c>
      <c r="S21">
        <f>IF(L21&gt;0,C21/L21,0)+R21</f>
        <v/>
      </c>
      <c r="T21">
        <f>S21-M21</f>
        <v/>
      </c>
      <c r="U21">
        <f>IF(O21&gt;=Inputs_State!$B$4,"RED",IF(O21&gt;=Inputs_State!$B$3,"AMBER","GREEN"))</f>
        <v/>
      </c>
    </row>
    <row r="22">
      <c r="A22" t="inlineStr">
        <is>
          <t>Douglas</t>
        </is>
      </c>
      <c r="B22">
        <f>Inputs_State!$B$1</f>
        <v/>
      </c>
      <c r="C22">
        <f>SUMIFS(tblArrivals[Points],tblArrivals[County],A22)</f>
        <v/>
      </c>
      <c r="D22">
        <f>SUMIFS(tblComplexity[Cases_Current],tblComplexity[County],A22)</f>
        <v/>
      </c>
      <c r="E22">
        <f>SUMIFS(tblComplexity[Weight_Current],tblComplexity[County],A22)</f>
        <v/>
      </c>
      <c r="F22">
        <f>IF(D22&gt;0,E22/D22,0)</f>
        <v/>
      </c>
      <c r="G22">
        <f>SUMIFS(tblComplexity[Cases_Baseline],tblComplexity[County],A22)</f>
        <v/>
      </c>
      <c r="H22">
        <f>SUMIFS(tblComplexity[Weight_Baseline],tblComplexity[County],A22)</f>
        <v/>
      </c>
      <c r="I22">
        <f>IF(G22&gt;0,H22/G22,0)</f>
        <v/>
      </c>
      <c r="J22">
        <f>IF(I22&gt;0,F22/I22,1)</f>
        <v/>
      </c>
      <c r="K22">
        <f>IFERROR(VLOOKUP(A22,tblBaseline,6,FALSE)/VLOOKUP(A22,tblBaseline,7,FALSE),0)</f>
        <v/>
      </c>
      <c r="L22">
        <f>IF(J22&gt;0,K22/J22,0)</f>
        <v/>
      </c>
      <c r="M22">
        <f>IFERROR(VLOOKUP(A22,tblBaseline,3,FALSE),0)</f>
        <v/>
      </c>
      <c r="N22">
        <f>M22*L22</f>
        <v/>
      </c>
      <c r="O22">
        <f>IF(N22&gt;0,C22/N22,0)</f>
        <v/>
      </c>
      <c r="P22">
        <f>IFERROR(VLOOKUP(A22,tblBaseline,5,FALSE),0)</f>
        <v/>
      </c>
      <c r="Q22">
        <f>P22+C22-N22</f>
        <v/>
      </c>
      <c r="R22">
        <f>IFERROR(VLOOKUP(A22,tblBaseline,4,FALSE),Inputs_State!$B$5)</f>
        <v/>
      </c>
      <c r="S22">
        <f>IF(L22&gt;0,C22/L22,0)+R22</f>
        <v/>
      </c>
      <c r="T22">
        <f>S22-M22</f>
        <v/>
      </c>
      <c r="U22">
        <f>IF(O22&gt;=Inputs_State!$B$4,"RED",IF(O22&gt;=Inputs_State!$B$3,"AMBER","GREEN"))</f>
        <v/>
      </c>
    </row>
    <row r="23">
      <c r="A23" t="inlineStr">
        <is>
          <t>Faribault</t>
        </is>
      </c>
      <c r="B23">
        <f>Inputs_State!$B$1</f>
        <v/>
      </c>
      <c r="C23">
        <f>SUMIFS(tblArrivals[Points],tblArrivals[County],A23)</f>
        <v/>
      </c>
      <c r="D23">
        <f>SUMIFS(tblComplexity[Cases_Current],tblComplexity[County],A23)</f>
        <v/>
      </c>
      <c r="E23">
        <f>SUMIFS(tblComplexity[Weight_Current],tblComplexity[County],A23)</f>
        <v/>
      </c>
      <c r="F23">
        <f>IF(D23&gt;0,E23/D23,0)</f>
        <v/>
      </c>
      <c r="G23">
        <f>SUMIFS(tblComplexity[Cases_Baseline],tblComplexity[County],A23)</f>
        <v/>
      </c>
      <c r="H23">
        <f>SUMIFS(tblComplexity[Weight_Baseline],tblComplexity[County],A23)</f>
        <v/>
      </c>
      <c r="I23">
        <f>IF(G23&gt;0,H23/G23,0)</f>
        <v/>
      </c>
      <c r="J23">
        <f>IF(I23&gt;0,F23/I23,1)</f>
        <v/>
      </c>
      <c r="K23">
        <f>IFERROR(VLOOKUP(A23,tblBaseline,6,FALSE)/VLOOKUP(A23,tblBaseline,7,FALSE),0)</f>
        <v/>
      </c>
      <c r="L23">
        <f>IF(J23&gt;0,K23/J23,0)</f>
        <v/>
      </c>
      <c r="M23">
        <f>IFERROR(VLOOKUP(A23,tblBaseline,3,FALSE),0)</f>
        <v/>
      </c>
      <c r="N23">
        <f>M23*L23</f>
        <v/>
      </c>
      <c r="O23">
        <f>IF(N23&gt;0,C23/N23,0)</f>
        <v/>
      </c>
      <c r="P23">
        <f>IFERROR(VLOOKUP(A23,tblBaseline,5,FALSE),0)</f>
        <v/>
      </c>
      <c r="Q23">
        <f>P23+C23-N23</f>
        <v/>
      </c>
      <c r="R23">
        <f>IFERROR(VLOOKUP(A23,tblBaseline,4,FALSE),Inputs_State!$B$5)</f>
        <v/>
      </c>
      <c r="S23">
        <f>IF(L23&gt;0,C23/L23,0)+R23</f>
        <v/>
      </c>
      <c r="T23">
        <f>S23-M23</f>
        <v/>
      </c>
      <c r="U23">
        <f>IF(O23&gt;=Inputs_State!$B$4,"RED",IF(O23&gt;=Inputs_State!$B$3,"AMBER","GREEN"))</f>
        <v/>
      </c>
    </row>
    <row r="24">
      <c r="A24" t="inlineStr">
        <is>
          <t>Fillmore</t>
        </is>
      </c>
      <c r="B24">
        <f>Inputs_State!$B$1</f>
        <v/>
      </c>
      <c r="C24">
        <f>SUMIFS(tblArrivals[Points],tblArrivals[County],A24)</f>
        <v/>
      </c>
      <c r="D24">
        <f>SUMIFS(tblComplexity[Cases_Current],tblComplexity[County],A24)</f>
        <v/>
      </c>
      <c r="E24">
        <f>SUMIFS(tblComplexity[Weight_Current],tblComplexity[County],A24)</f>
        <v/>
      </c>
      <c r="F24">
        <f>IF(D24&gt;0,E24/D24,0)</f>
        <v/>
      </c>
      <c r="G24">
        <f>SUMIFS(tblComplexity[Cases_Baseline],tblComplexity[County],A24)</f>
        <v/>
      </c>
      <c r="H24">
        <f>SUMIFS(tblComplexity[Weight_Baseline],tblComplexity[County],A24)</f>
        <v/>
      </c>
      <c r="I24">
        <f>IF(G24&gt;0,H24/G24,0)</f>
        <v/>
      </c>
      <c r="J24">
        <f>IF(I24&gt;0,F24/I24,1)</f>
        <v/>
      </c>
      <c r="K24">
        <f>IFERROR(VLOOKUP(A24,tblBaseline,6,FALSE)/VLOOKUP(A24,tblBaseline,7,FALSE),0)</f>
        <v/>
      </c>
      <c r="L24">
        <f>IF(J24&gt;0,K24/J24,0)</f>
        <v/>
      </c>
      <c r="M24">
        <f>IFERROR(VLOOKUP(A24,tblBaseline,3,FALSE),0)</f>
        <v/>
      </c>
      <c r="N24">
        <f>M24*L24</f>
        <v/>
      </c>
      <c r="O24">
        <f>IF(N24&gt;0,C24/N24,0)</f>
        <v/>
      </c>
      <c r="P24">
        <f>IFERROR(VLOOKUP(A24,tblBaseline,5,FALSE),0)</f>
        <v/>
      </c>
      <c r="Q24">
        <f>P24+C24-N24</f>
        <v/>
      </c>
      <c r="R24">
        <f>IFERROR(VLOOKUP(A24,tblBaseline,4,FALSE),Inputs_State!$B$5)</f>
        <v/>
      </c>
      <c r="S24">
        <f>IF(L24&gt;0,C24/L24,0)+R24</f>
        <v/>
      </c>
      <c r="T24">
        <f>S24-M24</f>
        <v/>
      </c>
      <c r="U24">
        <f>IF(O24&gt;=Inputs_State!$B$4,"RED",IF(O24&gt;=Inputs_State!$B$3,"AMBER","GREEN"))</f>
        <v/>
      </c>
    </row>
    <row r="25">
      <c r="A25" t="inlineStr">
        <is>
          <t>Freeborn</t>
        </is>
      </c>
      <c r="B25">
        <f>Inputs_State!$B$1</f>
        <v/>
      </c>
      <c r="C25">
        <f>SUMIFS(tblArrivals[Points],tblArrivals[County],A25)</f>
        <v/>
      </c>
      <c r="D25">
        <f>SUMIFS(tblComplexity[Cases_Current],tblComplexity[County],A25)</f>
        <v/>
      </c>
      <c r="E25">
        <f>SUMIFS(tblComplexity[Weight_Current],tblComplexity[County],A25)</f>
        <v/>
      </c>
      <c r="F25">
        <f>IF(D25&gt;0,E25/D25,0)</f>
        <v/>
      </c>
      <c r="G25">
        <f>SUMIFS(tblComplexity[Cases_Baseline],tblComplexity[County],A25)</f>
        <v/>
      </c>
      <c r="H25">
        <f>SUMIFS(tblComplexity[Weight_Baseline],tblComplexity[County],A25)</f>
        <v/>
      </c>
      <c r="I25">
        <f>IF(G25&gt;0,H25/G25,0)</f>
        <v/>
      </c>
      <c r="J25">
        <f>IF(I25&gt;0,F25/I25,1)</f>
        <v/>
      </c>
      <c r="K25">
        <f>IFERROR(VLOOKUP(A25,tblBaseline,6,FALSE)/VLOOKUP(A25,tblBaseline,7,FALSE),0)</f>
        <v/>
      </c>
      <c r="L25">
        <f>IF(J25&gt;0,K25/J25,0)</f>
        <v/>
      </c>
      <c r="M25">
        <f>IFERROR(VLOOKUP(A25,tblBaseline,3,FALSE),0)</f>
        <v/>
      </c>
      <c r="N25">
        <f>M25*L25</f>
        <v/>
      </c>
      <c r="O25">
        <f>IF(N25&gt;0,C25/N25,0)</f>
        <v/>
      </c>
      <c r="P25">
        <f>IFERROR(VLOOKUP(A25,tblBaseline,5,FALSE),0)</f>
        <v/>
      </c>
      <c r="Q25">
        <f>P25+C25-N25</f>
        <v/>
      </c>
      <c r="R25">
        <f>IFERROR(VLOOKUP(A25,tblBaseline,4,FALSE),Inputs_State!$B$5)</f>
        <v/>
      </c>
      <c r="S25">
        <f>IF(L25&gt;0,C25/L25,0)+R25</f>
        <v/>
      </c>
      <c r="T25">
        <f>S25-M25</f>
        <v/>
      </c>
      <c r="U25">
        <f>IF(O25&gt;=Inputs_State!$B$4,"RED",IF(O25&gt;=Inputs_State!$B$3,"AMBER","GREEN"))</f>
        <v/>
      </c>
    </row>
    <row r="26">
      <c r="A26" t="inlineStr">
        <is>
          <t>Goodhue</t>
        </is>
      </c>
      <c r="B26">
        <f>Inputs_State!$B$1</f>
        <v/>
      </c>
      <c r="C26">
        <f>SUMIFS(tblArrivals[Points],tblArrivals[County],A26)</f>
        <v/>
      </c>
      <c r="D26">
        <f>SUMIFS(tblComplexity[Cases_Current],tblComplexity[County],A26)</f>
        <v/>
      </c>
      <c r="E26">
        <f>SUMIFS(tblComplexity[Weight_Current],tblComplexity[County],A26)</f>
        <v/>
      </c>
      <c r="F26">
        <f>IF(D26&gt;0,E26/D26,0)</f>
        <v/>
      </c>
      <c r="G26">
        <f>SUMIFS(tblComplexity[Cases_Baseline],tblComplexity[County],A26)</f>
        <v/>
      </c>
      <c r="H26">
        <f>SUMIFS(tblComplexity[Weight_Baseline],tblComplexity[County],A26)</f>
        <v/>
      </c>
      <c r="I26">
        <f>IF(G26&gt;0,H26/G26,0)</f>
        <v/>
      </c>
      <c r="J26">
        <f>IF(I26&gt;0,F26/I26,1)</f>
        <v/>
      </c>
      <c r="K26">
        <f>IFERROR(VLOOKUP(A26,tblBaseline,6,FALSE)/VLOOKUP(A26,tblBaseline,7,FALSE),0)</f>
        <v/>
      </c>
      <c r="L26">
        <f>IF(J26&gt;0,K26/J26,0)</f>
        <v/>
      </c>
      <c r="M26">
        <f>IFERROR(VLOOKUP(A26,tblBaseline,3,FALSE),0)</f>
        <v/>
      </c>
      <c r="N26">
        <f>M26*L26</f>
        <v/>
      </c>
      <c r="O26">
        <f>IF(N26&gt;0,C26/N26,0)</f>
        <v/>
      </c>
      <c r="P26">
        <f>IFERROR(VLOOKUP(A26,tblBaseline,5,FALSE),0)</f>
        <v/>
      </c>
      <c r="Q26">
        <f>P26+C26-N26</f>
        <v/>
      </c>
      <c r="R26">
        <f>IFERROR(VLOOKUP(A26,tblBaseline,4,FALSE),Inputs_State!$B$5)</f>
        <v/>
      </c>
      <c r="S26">
        <f>IF(L26&gt;0,C26/L26,0)+R26</f>
        <v/>
      </c>
      <c r="T26">
        <f>S26-M26</f>
        <v/>
      </c>
      <c r="U26">
        <f>IF(O26&gt;=Inputs_State!$B$4,"RED",IF(O26&gt;=Inputs_State!$B$3,"AMBER","GREEN"))</f>
        <v/>
      </c>
    </row>
    <row r="27">
      <c r="A27" t="inlineStr">
        <is>
          <t>Grant</t>
        </is>
      </c>
      <c r="B27">
        <f>Inputs_State!$B$1</f>
        <v/>
      </c>
      <c r="C27">
        <f>SUMIFS(tblArrivals[Points],tblArrivals[County],A27)</f>
        <v/>
      </c>
      <c r="D27">
        <f>SUMIFS(tblComplexity[Cases_Current],tblComplexity[County],A27)</f>
        <v/>
      </c>
      <c r="E27">
        <f>SUMIFS(tblComplexity[Weight_Current],tblComplexity[County],A27)</f>
        <v/>
      </c>
      <c r="F27">
        <f>IF(D27&gt;0,E27/D27,0)</f>
        <v/>
      </c>
      <c r="G27">
        <f>SUMIFS(tblComplexity[Cases_Baseline],tblComplexity[County],A27)</f>
        <v/>
      </c>
      <c r="H27">
        <f>SUMIFS(tblComplexity[Weight_Baseline],tblComplexity[County],A27)</f>
        <v/>
      </c>
      <c r="I27">
        <f>IF(G27&gt;0,H27/G27,0)</f>
        <v/>
      </c>
      <c r="J27">
        <f>IF(I27&gt;0,F27/I27,1)</f>
        <v/>
      </c>
      <c r="K27">
        <f>IFERROR(VLOOKUP(A27,tblBaseline,6,FALSE)/VLOOKUP(A27,tblBaseline,7,FALSE),0)</f>
        <v/>
      </c>
      <c r="L27">
        <f>IF(J27&gt;0,K27/J27,0)</f>
        <v/>
      </c>
      <c r="M27">
        <f>IFERROR(VLOOKUP(A27,tblBaseline,3,FALSE),0)</f>
        <v/>
      </c>
      <c r="N27">
        <f>M27*L27</f>
        <v/>
      </c>
      <c r="O27">
        <f>IF(N27&gt;0,C27/N27,0)</f>
        <v/>
      </c>
      <c r="P27">
        <f>IFERROR(VLOOKUP(A27,tblBaseline,5,FALSE),0)</f>
        <v/>
      </c>
      <c r="Q27">
        <f>P27+C27-N27</f>
        <v/>
      </c>
      <c r="R27">
        <f>IFERROR(VLOOKUP(A27,tblBaseline,4,FALSE),Inputs_State!$B$5)</f>
        <v/>
      </c>
      <c r="S27">
        <f>IF(L27&gt;0,C27/L27,0)+R27</f>
        <v/>
      </c>
      <c r="T27">
        <f>S27-M27</f>
        <v/>
      </c>
      <c r="U27">
        <f>IF(O27&gt;=Inputs_State!$B$4,"RED",IF(O27&gt;=Inputs_State!$B$3,"AMBER","GREEN"))</f>
        <v/>
      </c>
    </row>
    <row r="28">
      <c r="A28" t="inlineStr">
        <is>
          <t>Hennepin</t>
        </is>
      </c>
      <c r="B28">
        <f>Inputs_State!$B$1</f>
        <v/>
      </c>
      <c r="C28">
        <f>SUMIFS(tblArrivals[Points],tblArrivals[County],A28)</f>
        <v/>
      </c>
      <c r="D28">
        <f>SUMIFS(tblComplexity[Cases_Current],tblComplexity[County],A28)</f>
        <v/>
      </c>
      <c r="E28">
        <f>SUMIFS(tblComplexity[Weight_Current],tblComplexity[County],A28)</f>
        <v/>
      </c>
      <c r="F28">
        <f>IF(D28&gt;0,E28/D28,0)</f>
        <v/>
      </c>
      <c r="G28">
        <f>SUMIFS(tblComplexity[Cases_Baseline],tblComplexity[County],A28)</f>
        <v/>
      </c>
      <c r="H28">
        <f>SUMIFS(tblComplexity[Weight_Baseline],tblComplexity[County],A28)</f>
        <v/>
      </c>
      <c r="I28">
        <f>IF(G28&gt;0,H28/G28,0)</f>
        <v/>
      </c>
      <c r="J28">
        <f>IF(I28&gt;0,F28/I28,1)</f>
        <v/>
      </c>
      <c r="K28">
        <f>IFERROR(VLOOKUP(A28,tblBaseline,6,FALSE)/VLOOKUP(A28,tblBaseline,7,FALSE),0)</f>
        <v/>
      </c>
      <c r="L28">
        <f>IF(J28&gt;0,K28/J28,0)</f>
        <v/>
      </c>
      <c r="M28">
        <f>IFERROR(VLOOKUP(A28,tblBaseline,3,FALSE),0)</f>
        <v/>
      </c>
      <c r="N28">
        <f>M28*L28</f>
        <v/>
      </c>
      <c r="O28">
        <f>IF(N28&gt;0,C28/N28,0)</f>
        <v/>
      </c>
      <c r="P28">
        <f>IFERROR(VLOOKUP(A28,tblBaseline,5,FALSE),0)</f>
        <v/>
      </c>
      <c r="Q28">
        <f>P28+C28-N28</f>
        <v/>
      </c>
      <c r="R28">
        <f>IFERROR(VLOOKUP(A28,tblBaseline,4,FALSE),Inputs_State!$B$5)</f>
        <v/>
      </c>
      <c r="S28">
        <f>IF(L28&gt;0,C28/L28,0)+R28</f>
        <v/>
      </c>
      <c r="T28">
        <f>S28-M28</f>
        <v/>
      </c>
      <c r="U28">
        <f>IF(O28&gt;=Inputs_State!$B$4,"RED",IF(O28&gt;=Inputs_State!$B$3,"AMBER","GREEN"))</f>
        <v/>
      </c>
    </row>
    <row r="29">
      <c r="A29" t="inlineStr">
        <is>
          <t>Houston</t>
        </is>
      </c>
      <c r="B29">
        <f>Inputs_State!$B$1</f>
        <v/>
      </c>
      <c r="C29">
        <f>SUMIFS(tblArrivals[Points],tblArrivals[County],A29)</f>
        <v/>
      </c>
      <c r="D29">
        <f>SUMIFS(tblComplexity[Cases_Current],tblComplexity[County],A29)</f>
        <v/>
      </c>
      <c r="E29">
        <f>SUMIFS(tblComplexity[Weight_Current],tblComplexity[County],A29)</f>
        <v/>
      </c>
      <c r="F29">
        <f>IF(D29&gt;0,E29/D29,0)</f>
        <v/>
      </c>
      <c r="G29">
        <f>SUMIFS(tblComplexity[Cases_Baseline],tblComplexity[County],A29)</f>
        <v/>
      </c>
      <c r="H29">
        <f>SUMIFS(tblComplexity[Weight_Baseline],tblComplexity[County],A29)</f>
        <v/>
      </c>
      <c r="I29">
        <f>IF(G29&gt;0,H29/G29,0)</f>
        <v/>
      </c>
      <c r="J29">
        <f>IF(I29&gt;0,F29/I29,1)</f>
        <v/>
      </c>
      <c r="K29">
        <f>IFERROR(VLOOKUP(A29,tblBaseline,6,FALSE)/VLOOKUP(A29,tblBaseline,7,FALSE),0)</f>
        <v/>
      </c>
      <c r="L29">
        <f>IF(J29&gt;0,K29/J29,0)</f>
        <v/>
      </c>
      <c r="M29">
        <f>IFERROR(VLOOKUP(A29,tblBaseline,3,FALSE),0)</f>
        <v/>
      </c>
      <c r="N29">
        <f>M29*L29</f>
        <v/>
      </c>
      <c r="O29">
        <f>IF(N29&gt;0,C29/N29,0)</f>
        <v/>
      </c>
      <c r="P29">
        <f>IFERROR(VLOOKUP(A29,tblBaseline,5,FALSE),0)</f>
        <v/>
      </c>
      <c r="Q29">
        <f>P29+C29-N29</f>
        <v/>
      </c>
      <c r="R29">
        <f>IFERROR(VLOOKUP(A29,tblBaseline,4,FALSE),Inputs_State!$B$5)</f>
        <v/>
      </c>
      <c r="S29">
        <f>IF(L29&gt;0,C29/L29,0)+R29</f>
        <v/>
      </c>
      <c r="T29">
        <f>S29-M29</f>
        <v/>
      </c>
      <c r="U29">
        <f>IF(O29&gt;=Inputs_State!$B$4,"RED",IF(O29&gt;=Inputs_State!$B$3,"AMBER","GREEN"))</f>
        <v/>
      </c>
    </row>
    <row r="30">
      <c r="A30" t="inlineStr">
        <is>
          <t>Hubbard</t>
        </is>
      </c>
      <c r="B30">
        <f>Inputs_State!$B$1</f>
        <v/>
      </c>
      <c r="C30">
        <f>SUMIFS(tblArrivals[Points],tblArrivals[County],A30)</f>
        <v/>
      </c>
      <c r="D30">
        <f>SUMIFS(tblComplexity[Cases_Current],tblComplexity[County],A30)</f>
        <v/>
      </c>
      <c r="E30">
        <f>SUMIFS(tblComplexity[Weight_Current],tblComplexity[County],A30)</f>
        <v/>
      </c>
      <c r="F30">
        <f>IF(D30&gt;0,E30/D30,0)</f>
        <v/>
      </c>
      <c r="G30">
        <f>SUMIFS(tblComplexity[Cases_Baseline],tblComplexity[County],A30)</f>
        <v/>
      </c>
      <c r="H30">
        <f>SUMIFS(tblComplexity[Weight_Baseline],tblComplexity[County],A30)</f>
        <v/>
      </c>
      <c r="I30">
        <f>IF(G30&gt;0,H30/G30,0)</f>
        <v/>
      </c>
      <c r="J30">
        <f>IF(I30&gt;0,F30/I30,1)</f>
        <v/>
      </c>
      <c r="K30">
        <f>IFERROR(VLOOKUP(A30,tblBaseline,6,FALSE)/VLOOKUP(A30,tblBaseline,7,FALSE),0)</f>
        <v/>
      </c>
      <c r="L30">
        <f>IF(J30&gt;0,K30/J30,0)</f>
        <v/>
      </c>
      <c r="M30">
        <f>IFERROR(VLOOKUP(A30,tblBaseline,3,FALSE),0)</f>
        <v/>
      </c>
      <c r="N30">
        <f>M30*L30</f>
        <v/>
      </c>
      <c r="O30">
        <f>IF(N30&gt;0,C30/N30,0)</f>
        <v/>
      </c>
      <c r="P30">
        <f>IFERROR(VLOOKUP(A30,tblBaseline,5,FALSE),0)</f>
        <v/>
      </c>
      <c r="Q30">
        <f>P30+C30-N30</f>
        <v/>
      </c>
      <c r="R30">
        <f>IFERROR(VLOOKUP(A30,tblBaseline,4,FALSE),Inputs_State!$B$5)</f>
        <v/>
      </c>
      <c r="S30">
        <f>IF(L30&gt;0,C30/L30,0)+R30</f>
        <v/>
      </c>
      <c r="T30">
        <f>S30-M30</f>
        <v/>
      </c>
      <c r="U30">
        <f>IF(O30&gt;=Inputs_State!$B$4,"RED",IF(O30&gt;=Inputs_State!$B$3,"AMBER","GREEN"))</f>
        <v/>
      </c>
    </row>
    <row r="31">
      <c r="A31" t="inlineStr">
        <is>
          <t>Isanti</t>
        </is>
      </c>
      <c r="B31">
        <f>Inputs_State!$B$1</f>
        <v/>
      </c>
      <c r="C31">
        <f>SUMIFS(tblArrivals[Points],tblArrivals[County],A31)</f>
        <v/>
      </c>
      <c r="D31">
        <f>SUMIFS(tblComplexity[Cases_Current],tblComplexity[County],A31)</f>
        <v/>
      </c>
      <c r="E31">
        <f>SUMIFS(tblComplexity[Weight_Current],tblComplexity[County],A31)</f>
        <v/>
      </c>
      <c r="F31">
        <f>IF(D31&gt;0,E31/D31,0)</f>
        <v/>
      </c>
      <c r="G31">
        <f>SUMIFS(tblComplexity[Cases_Baseline],tblComplexity[County],A31)</f>
        <v/>
      </c>
      <c r="H31">
        <f>SUMIFS(tblComplexity[Weight_Baseline],tblComplexity[County],A31)</f>
        <v/>
      </c>
      <c r="I31">
        <f>IF(G31&gt;0,H31/G31,0)</f>
        <v/>
      </c>
      <c r="J31">
        <f>IF(I31&gt;0,F31/I31,1)</f>
        <v/>
      </c>
      <c r="K31">
        <f>IFERROR(VLOOKUP(A31,tblBaseline,6,FALSE)/VLOOKUP(A31,tblBaseline,7,FALSE),0)</f>
        <v/>
      </c>
      <c r="L31">
        <f>IF(J31&gt;0,K31/J31,0)</f>
        <v/>
      </c>
      <c r="M31">
        <f>IFERROR(VLOOKUP(A31,tblBaseline,3,FALSE),0)</f>
        <v/>
      </c>
      <c r="N31">
        <f>M31*L31</f>
        <v/>
      </c>
      <c r="O31">
        <f>IF(N31&gt;0,C31/N31,0)</f>
        <v/>
      </c>
      <c r="P31">
        <f>IFERROR(VLOOKUP(A31,tblBaseline,5,FALSE),0)</f>
        <v/>
      </c>
      <c r="Q31">
        <f>P31+C31-N31</f>
        <v/>
      </c>
      <c r="R31">
        <f>IFERROR(VLOOKUP(A31,tblBaseline,4,FALSE),Inputs_State!$B$5)</f>
        <v/>
      </c>
      <c r="S31">
        <f>IF(L31&gt;0,C31/L31,0)+R31</f>
        <v/>
      </c>
      <c r="T31">
        <f>S31-M31</f>
        <v/>
      </c>
      <c r="U31">
        <f>IF(O31&gt;=Inputs_State!$B$4,"RED",IF(O31&gt;=Inputs_State!$B$3,"AMBER","GREEN"))</f>
        <v/>
      </c>
    </row>
    <row r="32">
      <c r="A32" t="inlineStr">
        <is>
          <t>Itasca</t>
        </is>
      </c>
      <c r="B32">
        <f>Inputs_State!$B$1</f>
        <v/>
      </c>
      <c r="C32">
        <f>SUMIFS(tblArrivals[Points],tblArrivals[County],A32)</f>
        <v/>
      </c>
      <c r="D32">
        <f>SUMIFS(tblComplexity[Cases_Current],tblComplexity[County],A32)</f>
        <v/>
      </c>
      <c r="E32">
        <f>SUMIFS(tblComplexity[Weight_Current],tblComplexity[County],A32)</f>
        <v/>
      </c>
      <c r="F32">
        <f>IF(D32&gt;0,E32/D32,0)</f>
        <v/>
      </c>
      <c r="G32">
        <f>SUMIFS(tblComplexity[Cases_Baseline],tblComplexity[County],A32)</f>
        <v/>
      </c>
      <c r="H32">
        <f>SUMIFS(tblComplexity[Weight_Baseline],tblComplexity[County],A32)</f>
        <v/>
      </c>
      <c r="I32">
        <f>IF(G32&gt;0,H32/G32,0)</f>
        <v/>
      </c>
      <c r="J32">
        <f>IF(I32&gt;0,F32/I32,1)</f>
        <v/>
      </c>
      <c r="K32">
        <f>IFERROR(VLOOKUP(A32,tblBaseline,6,FALSE)/VLOOKUP(A32,tblBaseline,7,FALSE),0)</f>
        <v/>
      </c>
      <c r="L32">
        <f>IF(J32&gt;0,K32/J32,0)</f>
        <v/>
      </c>
      <c r="M32">
        <f>IFERROR(VLOOKUP(A32,tblBaseline,3,FALSE),0)</f>
        <v/>
      </c>
      <c r="N32">
        <f>M32*L32</f>
        <v/>
      </c>
      <c r="O32">
        <f>IF(N32&gt;0,C32/N32,0)</f>
        <v/>
      </c>
      <c r="P32">
        <f>IFERROR(VLOOKUP(A32,tblBaseline,5,FALSE),0)</f>
        <v/>
      </c>
      <c r="Q32">
        <f>P32+C32-N32</f>
        <v/>
      </c>
      <c r="R32">
        <f>IFERROR(VLOOKUP(A32,tblBaseline,4,FALSE),Inputs_State!$B$5)</f>
        <v/>
      </c>
      <c r="S32">
        <f>IF(L32&gt;0,C32/L32,0)+R32</f>
        <v/>
      </c>
      <c r="T32">
        <f>S32-M32</f>
        <v/>
      </c>
      <c r="U32">
        <f>IF(O32&gt;=Inputs_State!$B$4,"RED",IF(O32&gt;=Inputs_State!$B$3,"AMBER","GREEN"))</f>
        <v/>
      </c>
    </row>
    <row r="33">
      <c r="A33" t="inlineStr">
        <is>
          <t>Jackson</t>
        </is>
      </c>
      <c r="B33">
        <f>Inputs_State!$B$1</f>
        <v/>
      </c>
      <c r="C33">
        <f>SUMIFS(tblArrivals[Points],tblArrivals[County],A33)</f>
        <v/>
      </c>
      <c r="D33">
        <f>SUMIFS(tblComplexity[Cases_Current],tblComplexity[County],A33)</f>
        <v/>
      </c>
      <c r="E33">
        <f>SUMIFS(tblComplexity[Weight_Current],tblComplexity[County],A33)</f>
        <v/>
      </c>
      <c r="F33">
        <f>IF(D33&gt;0,E33/D33,0)</f>
        <v/>
      </c>
      <c r="G33">
        <f>SUMIFS(tblComplexity[Cases_Baseline],tblComplexity[County],A33)</f>
        <v/>
      </c>
      <c r="H33">
        <f>SUMIFS(tblComplexity[Weight_Baseline],tblComplexity[County],A33)</f>
        <v/>
      </c>
      <c r="I33">
        <f>IF(G33&gt;0,H33/G33,0)</f>
        <v/>
      </c>
      <c r="J33">
        <f>IF(I33&gt;0,F33/I33,1)</f>
        <v/>
      </c>
      <c r="K33">
        <f>IFERROR(VLOOKUP(A33,tblBaseline,6,FALSE)/VLOOKUP(A33,tblBaseline,7,FALSE),0)</f>
        <v/>
      </c>
      <c r="L33">
        <f>IF(J33&gt;0,K33/J33,0)</f>
        <v/>
      </c>
      <c r="M33">
        <f>IFERROR(VLOOKUP(A33,tblBaseline,3,FALSE),0)</f>
        <v/>
      </c>
      <c r="N33">
        <f>M33*L33</f>
        <v/>
      </c>
      <c r="O33">
        <f>IF(N33&gt;0,C33/N33,0)</f>
        <v/>
      </c>
      <c r="P33">
        <f>IFERROR(VLOOKUP(A33,tblBaseline,5,FALSE),0)</f>
        <v/>
      </c>
      <c r="Q33">
        <f>P33+C33-N33</f>
        <v/>
      </c>
      <c r="R33">
        <f>IFERROR(VLOOKUP(A33,tblBaseline,4,FALSE),Inputs_State!$B$5)</f>
        <v/>
      </c>
      <c r="S33">
        <f>IF(L33&gt;0,C33/L33,0)+R33</f>
        <v/>
      </c>
      <c r="T33">
        <f>S33-M33</f>
        <v/>
      </c>
      <c r="U33">
        <f>IF(O33&gt;=Inputs_State!$B$4,"RED",IF(O33&gt;=Inputs_State!$B$3,"AMBER","GREEN"))</f>
        <v/>
      </c>
    </row>
    <row r="34">
      <c r="A34" t="inlineStr">
        <is>
          <t>Kanabec</t>
        </is>
      </c>
      <c r="B34">
        <f>Inputs_State!$B$1</f>
        <v/>
      </c>
      <c r="C34">
        <f>SUMIFS(tblArrivals[Points],tblArrivals[County],A34)</f>
        <v/>
      </c>
      <c r="D34">
        <f>SUMIFS(tblComplexity[Cases_Current],tblComplexity[County],A34)</f>
        <v/>
      </c>
      <c r="E34">
        <f>SUMIFS(tblComplexity[Weight_Current],tblComplexity[County],A34)</f>
        <v/>
      </c>
      <c r="F34">
        <f>IF(D34&gt;0,E34/D34,0)</f>
        <v/>
      </c>
      <c r="G34">
        <f>SUMIFS(tblComplexity[Cases_Baseline],tblComplexity[County],A34)</f>
        <v/>
      </c>
      <c r="H34">
        <f>SUMIFS(tblComplexity[Weight_Baseline],tblComplexity[County],A34)</f>
        <v/>
      </c>
      <c r="I34">
        <f>IF(G34&gt;0,H34/G34,0)</f>
        <v/>
      </c>
      <c r="J34">
        <f>IF(I34&gt;0,F34/I34,1)</f>
        <v/>
      </c>
      <c r="K34">
        <f>IFERROR(VLOOKUP(A34,tblBaseline,6,FALSE)/VLOOKUP(A34,tblBaseline,7,FALSE),0)</f>
        <v/>
      </c>
      <c r="L34">
        <f>IF(J34&gt;0,K34/J34,0)</f>
        <v/>
      </c>
      <c r="M34">
        <f>IFERROR(VLOOKUP(A34,tblBaseline,3,FALSE),0)</f>
        <v/>
      </c>
      <c r="N34">
        <f>M34*L34</f>
        <v/>
      </c>
      <c r="O34">
        <f>IF(N34&gt;0,C34/N34,0)</f>
        <v/>
      </c>
      <c r="P34">
        <f>IFERROR(VLOOKUP(A34,tblBaseline,5,FALSE),0)</f>
        <v/>
      </c>
      <c r="Q34">
        <f>P34+C34-N34</f>
        <v/>
      </c>
      <c r="R34">
        <f>IFERROR(VLOOKUP(A34,tblBaseline,4,FALSE),Inputs_State!$B$5)</f>
        <v/>
      </c>
      <c r="S34">
        <f>IF(L34&gt;0,C34/L34,0)+R34</f>
        <v/>
      </c>
      <c r="T34">
        <f>S34-M34</f>
        <v/>
      </c>
      <c r="U34">
        <f>IF(O34&gt;=Inputs_State!$B$4,"RED",IF(O34&gt;=Inputs_State!$B$3,"AMBER","GREEN"))</f>
        <v/>
      </c>
    </row>
    <row r="35">
      <c r="A35" t="inlineStr">
        <is>
          <t>Kandiyohi</t>
        </is>
      </c>
      <c r="B35">
        <f>Inputs_State!$B$1</f>
        <v/>
      </c>
      <c r="C35">
        <f>SUMIFS(tblArrivals[Points],tblArrivals[County],A35)</f>
        <v/>
      </c>
      <c r="D35">
        <f>SUMIFS(tblComplexity[Cases_Current],tblComplexity[County],A35)</f>
        <v/>
      </c>
      <c r="E35">
        <f>SUMIFS(tblComplexity[Weight_Current],tblComplexity[County],A35)</f>
        <v/>
      </c>
      <c r="F35">
        <f>IF(D35&gt;0,E35/D35,0)</f>
        <v/>
      </c>
      <c r="G35">
        <f>SUMIFS(tblComplexity[Cases_Baseline],tblComplexity[County],A35)</f>
        <v/>
      </c>
      <c r="H35">
        <f>SUMIFS(tblComplexity[Weight_Baseline],tblComplexity[County],A35)</f>
        <v/>
      </c>
      <c r="I35">
        <f>IF(G35&gt;0,H35/G35,0)</f>
        <v/>
      </c>
      <c r="J35">
        <f>IF(I35&gt;0,F35/I35,1)</f>
        <v/>
      </c>
      <c r="K35">
        <f>IFERROR(VLOOKUP(A35,tblBaseline,6,FALSE)/VLOOKUP(A35,tblBaseline,7,FALSE),0)</f>
        <v/>
      </c>
      <c r="L35">
        <f>IF(J35&gt;0,K35/J35,0)</f>
        <v/>
      </c>
      <c r="M35">
        <f>IFERROR(VLOOKUP(A35,tblBaseline,3,FALSE),0)</f>
        <v/>
      </c>
      <c r="N35">
        <f>M35*L35</f>
        <v/>
      </c>
      <c r="O35">
        <f>IF(N35&gt;0,C35/N35,0)</f>
        <v/>
      </c>
      <c r="P35">
        <f>IFERROR(VLOOKUP(A35,tblBaseline,5,FALSE),0)</f>
        <v/>
      </c>
      <c r="Q35">
        <f>P35+C35-N35</f>
        <v/>
      </c>
      <c r="R35">
        <f>IFERROR(VLOOKUP(A35,tblBaseline,4,FALSE),Inputs_State!$B$5)</f>
        <v/>
      </c>
      <c r="S35">
        <f>IF(L35&gt;0,C35/L35,0)+R35</f>
        <v/>
      </c>
      <c r="T35">
        <f>S35-M35</f>
        <v/>
      </c>
      <c r="U35">
        <f>IF(O35&gt;=Inputs_State!$B$4,"RED",IF(O35&gt;=Inputs_State!$B$3,"AMBER","GREEN"))</f>
        <v/>
      </c>
    </row>
    <row r="36">
      <c r="A36" t="inlineStr">
        <is>
          <t>Kittson</t>
        </is>
      </c>
      <c r="B36">
        <f>Inputs_State!$B$1</f>
        <v/>
      </c>
      <c r="C36">
        <f>SUMIFS(tblArrivals[Points],tblArrivals[County],A36)</f>
        <v/>
      </c>
      <c r="D36">
        <f>SUMIFS(tblComplexity[Cases_Current],tblComplexity[County],A36)</f>
        <v/>
      </c>
      <c r="E36">
        <f>SUMIFS(tblComplexity[Weight_Current],tblComplexity[County],A36)</f>
        <v/>
      </c>
      <c r="F36">
        <f>IF(D36&gt;0,E36/D36,0)</f>
        <v/>
      </c>
      <c r="G36">
        <f>SUMIFS(tblComplexity[Cases_Baseline],tblComplexity[County],A36)</f>
        <v/>
      </c>
      <c r="H36">
        <f>SUMIFS(tblComplexity[Weight_Baseline],tblComplexity[County],A36)</f>
        <v/>
      </c>
      <c r="I36">
        <f>IF(G36&gt;0,H36/G36,0)</f>
        <v/>
      </c>
      <c r="J36">
        <f>IF(I36&gt;0,F36/I36,1)</f>
        <v/>
      </c>
      <c r="K36">
        <f>IFERROR(VLOOKUP(A36,tblBaseline,6,FALSE)/VLOOKUP(A36,tblBaseline,7,FALSE),0)</f>
        <v/>
      </c>
      <c r="L36">
        <f>IF(J36&gt;0,K36/J36,0)</f>
        <v/>
      </c>
      <c r="M36">
        <f>IFERROR(VLOOKUP(A36,tblBaseline,3,FALSE),0)</f>
        <v/>
      </c>
      <c r="N36">
        <f>M36*L36</f>
        <v/>
      </c>
      <c r="O36">
        <f>IF(N36&gt;0,C36/N36,0)</f>
        <v/>
      </c>
      <c r="P36">
        <f>IFERROR(VLOOKUP(A36,tblBaseline,5,FALSE),0)</f>
        <v/>
      </c>
      <c r="Q36">
        <f>P36+C36-N36</f>
        <v/>
      </c>
      <c r="R36">
        <f>IFERROR(VLOOKUP(A36,tblBaseline,4,FALSE),Inputs_State!$B$5)</f>
        <v/>
      </c>
      <c r="S36">
        <f>IF(L36&gt;0,C36/L36,0)+R36</f>
        <v/>
      </c>
      <c r="T36">
        <f>S36-M36</f>
        <v/>
      </c>
      <c r="U36">
        <f>IF(O36&gt;=Inputs_State!$B$4,"RED",IF(O36&gt;=Inputs_State!$B$3,"AMBER","GREEN"))</f>
        <v/>
      </c>
    </row>
    <row r="37">
      <c r="A37" t="inlineStr">
        <is>
          <t>Koochiching</t>
        </is>
      </c>
      <c r="B37">
        <f>Inputs_State!$B$1</f>
        <v/>
      </c>
      <c r="C37">
        <f>SUMIFS(tblArrivals[Points],tblArrivals[County],A37)</f>
        <v/>
      </c>
      <c r="D37">
        <f>SUMIFS(tblComplexity[Cases_Current],tblComplexity[County],A37)</f>
        <v/>
      </c>
      <c r="E37">
        <f>SUMIFS(tblComplexity[Weight_Current],tblComplexity[County],A37)</f>
        <v/>
      </c>
      <c r="F37">
        <f>IF(D37&gt;0,E37/D37,0)</f>
        <v/>
      </c>
      <c r="G37">
        <f>SUMIFS(tblComplexity[Cases_Baseline],tblComplexity[County],A37)</f>
        <v/>
      </c>
      <c r="H37">
        <f>SUMIFS(tblComplexity[Weight_Baseline],tblComplexity[County],A37)</f>
        <v/>
      </c>
      <c r="I37">
        <f>IF(G37&gt;0,H37/G37,0)</f>
        <v/>
      </c>
      <c r="J37">
        <f>IF(I37&gt;0,F37/I37,1)</f>
        <v/>
      </c>
      <c r="K37">
        <f>IFERROR(VLOOKUP(A37,tblBaseline,6,FALSE)/VLOOKUP(A37,tblBaseline,7,FALSE),0)</f>
        <v/>
      </c>
      <c r="L37">
        <f>IF(J37&gt;0,K37/J37,0)</f>
        <v/>
      </c>
      <c r="M37">
        <f>IFERROR(VLOOKUP(A37,tblBaseline,3,FALSE),0)</f>
        <v/>
      </c>
      <c r="N37">
        <f>M37*L37</f>
        <v/>
      </c>
      <c r="O37">
        <f>IF(N37&gt;0,C37/N37,0)</f>
        <v/>
      </c>
      <c r="P37">
        <f>IFERROR(VLOOKUP(A37,tblBaseline,5,FALSE),0)</f>
        <v/>
      </c>
      <c r="Q37">
        <f>P37+C37-N37</f>
        <v/>
      </c>
      <c r="R37">
        <f>IFERROR(VLOOKUP(A37,tblBaseline,4,FALSE),Inputs_State!$B$5)</f>
        <v/>
      </c>
      <c r="S37">
        <f>IF(L37&gt;0,C37/L37,0)+R37</f>
        <v/>
      </c>
      <c r="T37">
        <f>S37-M37</f>
        <v/>
      </c>
      <c r="U37">
        <f>IF(O37&gt;=Inputs_State!$B$4,"RED",IF(O37&gt;=Inputs_State!$B$3,"AMBER","GREEN"))</f>
        <v/>
      </c>
    </row>
    <row r="38">
      <c r="A38" t="inlineStr">
        <is>
          <t>Lac qui Parle</t>
        </is>
      </c>
      <c r="B38">
        <f>Inputs_State!$B$1</f>
        <v/>
      </c>
      <c r="C38">
        <f>SUMIFS(tblArrivals[Points],tblArrivals[County],A38)</f>
        <v/>
      </c>
      <c r="D38">
        <f>SUMIFS(tblComplexity[Cases_Current],tblComplexity[County],A38)</f>
        <v/>
      </c>
      <c r="E38">
        <f>SUMIFS(tblComplexity[Weight_Current],tblComplexity[County],A38)</f>
        <v/>
      </c>
      <c r="F38">
        <f>IF(D38&gt;0,E38/D38,0)</f>
        <v/>
      </c>
      <c r="G38">
        <f>SUMIFS(tblComplexity[Cases_Baseline],tblComplexity[County],A38)</f>
        <v/>
      </c>
      <c r="H38">
        <f>SUMIFS(tblComplexity[Weight_Baseline],tblComplexity[County],A38)</f>
        <v/>
      </c>
      <c r="I38">
        <f>IF(G38&gt;0,H38/G38,0)</f>
        <v/>
      </c>
      <c r="J38">
        <f>IF(I38&gt;0,F38/I38,1)</f>
        <v/>
      </c>
      <c r="K38">
        <f>IFERROR(VLOOKUP(A38,tblBaseline,6,FALSE)/VLOOKUP(A38,tblBaseline,7,FALSE),0)</f>
        <v/>
      </c>
      <c r="L38">
        <f>IF(J38&gt;0,K38/J38,0)</f>
        <v/>
      </c>
      <c r="M38">
        <f>IFERROR(VLOOKUP(A38,tblBaseline,3,FALSE),0)</f>
        <v/>
      </c>
      <c r="N38">
        <f>M38*L38</f>
        <v/>
      </c>
      <c r="O38">
        <f>IF(N38&gt;0,C38/N38,0)</f>
        <v/>
      </c>
      <c r="P38">
        <f>IFERROR(VLOOKUP(A38,tblBaseline,5,FALSE),0)</f>
        <v/>
      </c>
      <c r="Q38">
        <f>P38+C38-N38</f>
        <v/>
      </c>
      <c r="R38">
        <f>IFERROR(VLOOKUP(A38,tblBaseline,4,FALSE),Inputs_State!$B$5)</f>
        <v/>
      </c>
      <c r="S38">
        <f>IF(L38&gt;0,C38/L38,0)+R38</f>
        <v/>
      </c>
      <c r="T38">
        <f>S38-M38</f>
        <v/>
      </c>
      <c r="U38">
        <f>IF(O38&gt;=Inputs_State!$B$4,"RED",IF(O38&gt;=Inputs_State!$B$3,"AMBER","GREEN"))</f>
        <v/>
      </c>
    </row>
    <row r="39">
      <c r="A39" t="inlineStr">
        <is>
          <t>Lake</t>
        </is>
      </c>
      <c r="B39">
        <f>Inputs_State!$B$1</f>
        <v/>
      </c>
      <c r="C39">
        <f>SUMIFS(tblArrivals[Points],tblArrivals[County],A39)</f>
        <v/>
      </c>
      <c r="D39">
        <f>SUMIFS(tblComplexity[Cases_Current],tblComplexity[County],A39)</f>
        <v/>
      </c>
      <c r="E39">
        <f>SUMIFS(tblComplexity[Weight_Current],tblComplexity[County],A39)</f>
        <v/>
      </c>
      <c r="F39">
        <f>IF(D39&gt;0,E39/D39,0)</f>
        <v/>
      </c>
      <c r="G39">
        <f>SUMIFS(tblComplexity[Cases_Baseline],tblComplexity[County],A39)</f>
        <v/>
      </c>
      <c r="H39">
        <f>SUMIFS(tblComplexity[Weight_Baseline],tblComplexity[County],A39)</f>
        <v/>
      </c>
      <c r="I39">
        <f>IF(G39&gt;0,H39/G39,0)</f>
        <v/>
      </c>
      <c r="J39">
        <f>IF(I39&gt;0,F39/I39,1)</f>
        <v/>
      </c>
      <c r="K39">
        <f>IFERROR(VLOOKUP(A39,tblBaseline,6,FALSE)/VLOOKUP(A39,tblBaseline,7,FALSE),0)</f>
        <v/>
      </c>
      <c r="L39">
        <f>IF(J39&gt;0,K39/J39,0)</f>
        <v/>
      </c>
      <c r="M39">
        <f>IFERROR(VLOOKUP(A39,tblBaseline,3,FALSE),0)</f>
        <v/>
      </c>
      <c r="N39">
        <f>M39*L39</f>
        <v/>
      </c>
      <c r="O39">
        <f>IF(N39&gt;0,C39/N39,0)</f>
        <v/>
      </c>
      <c r="P39">
        <f>IFERROR(VLOOKUP(A39,tblBaseline,5,FALSE),0)</f>
        <v/>
      </c>
      <c r="Q39">
        <f>P39+C39-N39</f>
        <v/>
      </c>
      <c r="R39">
        <f>IFERROR(VLOOKUP(A39,tblBaseline,4,FALSE),Inputs_State!$B$5)</f>
        <v/>
      </c>
      <c r="S39">
        <f>IF(L39&gt;0,C39/L39,0)+R39</f>
        <v/>
      </c>
      <c r="T39">
        <f>S39-M39</f>
        <v/>
      </c>
      <c r="U39">
        <f>IF(O39&gt;=Inputs_State!$B$4,"RED",IF(O39&gt;=Inputs_State!$B$3,"AMBER","GREEN"))</f>
        <v/>
      </c>
    </row>
    <row r="40">
      <c r="A40" t="inlineStr">
        <is>
          <t>Lake of the Woods</t>
        </is>
      </c>
      <c r="B40">
        <f>Inputs_State!$B$1</f>
        <v/>
      </c>
      <c r="C40">
        <f>SUMIFS(tblArrivals[Points],tblArrivals[County],A40)</f>
        <v/>
      </c>
      <c r="D40">
        <f>SUMIFS(tblComplexity[Cases_Current],tblComplexity[County],A40)</f>
        <v/>
      </c>
      <c r="E40">
        <f>SUMIFS(tblComplexity[Weight_Current],tblComplexity[County],A40)</f>
        <v/>
      </c>
      <c r="F40">
        <f>IF(D40&gt;0,E40/D40,0)</f>
        <v/>
      </c>
      <c r="G40">
        <f>SUMIFS(tblComplexity[Cases_Baseline],tblComplexity[County],A40)</f>
        <v/>
      </c>
      <c r="H40">
        <f>SUMIFS(tblComplexity[Weight_Baseline],tblComplexity[County],A40)</f>
        <v/>
      </c>
      <c r="I40">
        <f>IF(G40&gt;0,H40/G40,0)</f>
        <v/>
      </c>
      <c r="J40">
        <f>IF(I40&gt;0,F40/I40,1)</f>
        <v/>
      </c>
      <c r="K40">
        <f>IFERROR(VLOOKUP(A40,tblBaseline,6,FALSE)/VLOOKUP(A40,tblBaseline,7,FALSE),0)</f>
        <v/>
      </c>
      <c r="L40">
        <f>IF(J40&gt;0,K40/J40,0)</f>
        <v/>
      </c>
      <c r="M40">
        <f>IFERROR(VLOOKUP(A40,tblBaseline,3,FALSE),0)</f>
        <v/>
      </c>
      <c r="N40">
        <f>M40*L40</f>
        <v/>
      </c>
      <c r="O40">
        <f>IF(N40&gt;0,C40/N40,0)</f>
        <v/>
      </c>
      <c r="P40">
        <f>IFERROR(VLOOKUP(A40,tblBaseline,5,FALSE),0)</f>
        <v/>
      </c>
      <c r="Q40">
        <f>P40+C40-N40</f>
        <v/>
      </c>
      <c r="R40">
        <f>IFERROR(VLOOKUP(A40,tblBaseline,4,FALSE),Inputs_State!$B$5)</f>
        <v/>
      </c>
      <c r="S40">
        <f>IF(L40&gt;0,C40/L40,0)+R40</f>
        <v/>
      </c>
      <c r="T40">
        <f>S40-M40</f>
        <v/>
      </c>
      <c r="U40">
        <f>IF(O40&gt;=Inputs_State!$B$4,"RED",IF(O40&gt;=Inputs_State!$B$3,"AMBER","GREEN"))</f>
        <v/>
      </c>
    </row>
    <row r="41">
      <c r="A41" t="inlineStr">
        <is>
          <t>Le Sueur</t>
        </is>
      </c>
      <c r="B41">
        <f>Inputs_State!$B$1</f>
        <v/>
      </c>
      <c r="C41">
        <f>SUMIFS(tblArrivals[Points],tblArrivals[County],A41)</f>
        <v/>
      </c>
      <c r="D41">
        <f>SUMIFS(tblComplexity[Cases_Current],tblComplexity[County],A41)</f>
        <v/>
      </c>
      <c r="E41">
        <f>SUMIFS(tblComplexity[Weight_Current],tblComplexity[County],A41)</f>
        <v/>
      </c>
      <c r="F41">
        <f>IF(D41&gt;0,E41/D41,0)</f>
        <v/>
      </c>
      <c r="G41">
        <f>SUMIFS(tblComplexity[Cases_Baseline],tblComplexity[County],A41)</f>
        <v/>
      </c>
      <c r="H41">
        <f>SUMIFS(tblComplexity[Weight_Baseline],tblComplexity[County],A41)</f>
        <v/>
      </c>
      <c r="I41">
        <f>IF(G41&gt;0,H41/G41,0)</f>
        <v/>
      </c>
      <c r="J41">
        <f>IF(I41&gt;0,F41/I41,1)</f>
        <v/>
      </c>
      <c r="K41">
        <f>IFERROR(VLOOKUP(A41,tblBaseline,6,FALSE)/VLOOKUP(A41,tblBaseline,7,FALSE),0)</f>
        <v/>
      </c>
      <c r="L41">
        <f>IF(J41&gt;0,K41/J41,0)</f>
        <v/>
      </c>
      <c r="M41">
        <f>IFERROR(VLOOKUP(A41,tblBaseline,3,FALSE),0)</f>
        <v/>
      </c>
      <c r="N41">
        <f>M41*L41</f>
        <v/>
      </c>
      <c r="O41">
        <f>IF(N41&gt;0,C41/N41,0)</f>
        <v/>
      </c>
      <c r="P41">
        <f>IFERROR(VLOOKUP(A41,tblBaseline,5,FALSE),0)</f>
        <v/>
      </c>
      <c r="Q41">
        <f>P41+C41-N41</f>
        <v/>
      </c>
      <c r="R41">
        <f>IFERROR(VLOOKUP(A41,tblBaseline,4,FALSE),Inputs_State!$B$5)</f>
        <v/>
      </c>
      <c r="S41">
        <f>IF(L41&gt;0,C41/L41,0)+R41</f>
        <v/>
      </c>
      <c r="T41">
        <f>S41-M41</f>
        <v/>
      </c>
      <c r="U41">
        <f>IF(O41&gt;=Inputs_State!$B$4,"RED",IF(O41&gt;=Inputs_State!$B$3,"AMBER","GREEN"))</f>
        <v/>
      </c>
    </row>
    <row r="42">
      <c r="A42" t="inlineStr">
        <is>
          <t>Lincoln</t>
        </is>
      </c>
      <c r="B42">
        <f>Inputs_State!$B$1</f>
        <v/>
      </c>
      <c r="C42">
        <f>SUMIFS(tblArrivals[Points],tblArrivals[County],A42)</f>
        <v/>
      </c>
      <c r="D42">
        <f>SUMIFS(tblComplexity[Cases_Current],tblComplexity[County],A42)</f>
        <v/>
      </c>
      <c r="E42">
        <f>SUMIFS(tblComplexity[Weight_Current],tblComplexity[County],A42)</f>
        <v/>
      </c>
      <c r="F42">
        <f>IF(D42&gt;0,E42/D42,0)</f>
        <v/>
      </c>
      <c r="G42">
        <f>SUMIFS(tblComplexity[Cases_Baseline],tblComplexity[County],A42)</f>
        <v/>
      </c>
      <c r="H42">
        <f>SUMIFS(tblComplexity[Weight_Baseline],tblComplexity[County],A42)</f>
        <v/>
      </c>
      <c r="I42">
        <f>IF(G42&gt;0,H42/G42,0)</f>
        <v/>
      </c>
      <c r="J42">
        <f>IF(I42&gt;0,F42/I42,1)</f>
        <v/>
      </c>
      <c r="K42">
        <f>IFERROR(VLOOKUP(A42,tblBaseline,6,FALSE)/VLOOKUP(A42,tblBaseline,7,FALSE),0)</f>
        <v/>
      </c>
      <c r="L42">
        <f>IF(J42&gt;0,K42/J42,0)</f>
        <v/>
      </c>
      <c r="M42">
        <f>IFERROR(VLOOKUP(A42,tblBaseline,3,FALSE),0)</f>
        <v/>
      </c>
      <c r="N42">
        <f>M42*L42</f>
        <v/>
      </c>
      <c r="O42">
        <f>IF(N42&gt;0,C42/N42,0)</f>
        <v/>
      </c>
      <c r="P42">
        <f>IFERROR(VLOOKUP(A42,tblBaseline,5,FALSE),0)</f>
        <v/>
      </c>
      <c r="Q42">
        <f>P42+C42-N42</f>
        <v/>
      </c>
      <c r="R42">
        <f>IFERROR(VLOOKUP(A42,tblBaseline,4,FALSE),Inputs_State!$B$5)</f>
        <v/>
      </c>
      <c r="S42">
        <f>IF(L42&gt;0,C42/L42,0)+R42</f>
        <v/>
      </c>
      <c r="T42">
        <f>S42-M42</f>
        <v/>
      </c>
      <c r="U42">
        <f>IF(O42&gt;=Inputs_State!$B$4,"RED",IF(O42&gt;=Inputs_State!$B$3,"AMBER","GREEN"))</f>
        <v/>
      </c>
    </row>
    <row r="43">
      <c r="A43" t="inlineStr">
        <is>
          <t>Lyon</t>
        </is>
      </c>
      <c r="B43">
        <f>Inputs_State!$B$1</f>
        <v/>
      </c>
      <c r="C43">
        <f>SUMIFS(tblArrivals[Points],tblArrivals[County],A43)</f>
        <v/>
      </c>
      <c r="D43">
        <f>SUMIFS(tblComplexity[Cases_Current],tblComplexity[County],A43)</f>
        <v/>
      </c>
      <c r="E43">
        <f>SUMIFS(tblComplexity[Weight_Current],tblComplexity[County],A43)</f>
        <v/>
      </c>
      <c r="F43">
        <f>IF(D43&gt;0,E43/D43,0)</f>
        <v/>
      </c>
      <c r="G43">
        <f>SUMIFS(tblComplexity[Cases_Baseline],tblComplexity[County],A43)</f>
        <v/>
      </c>
      <c r="H43">
        <f>SUMIFS(tblComplexity[Weight_Baseline],tblComplexity[County],A43)</f>
        <v/>
      </c>
      <c r="I43">
        <f>IF(G43&gt;0,H43/G43,0)</f>
        <v/>
      </c>
      <c r="J43">
        <f>IF(I43&gt;0,F43/I43,1)</f>
        <v/>
      </c>
      <c r="K43">
        <f>IFERROR(VLOOKUP(A43,tblBaseline,6,FALSE)/VLOOKUP(A43,tblBaseline,7,FALSE),0)</f>
        <v/>
      </c>
      <c r="L43">
        <f>IF(J43&gt;0,K43/J43,0)</f>
        <v/>
      </c>
      <c r="M43">
        <f>IFERROR(VLOOKUP(A43,tblBaseline,3,FALSE),0)</f>
        <v/>
      </c>
      <c r="N43">
        <f>M43*L43</f>
        <v/>
      </c>
      <c r="O43">
        <f>IF(N43&gt;0,C43/N43,0)</f>
        <v/>
      </c>
      <c r="P43">
        <f>IFERROR(VLOOKUP(A43,tblBaseline,5,FALSE),0)</f>
        <v/>
      </c>
      <c r="Q43">
        <f>P43+C43-N43</f>
        <v/>
      </c>
      <c r="R43">
        <f>IFERROR(VLOOKUP(A43,tblBaseline,4,FALSE),Inputs_State!$B$5)</f>
        <v/>
      </c>
      <c r="S43">
        <f>IF(L43&gt;0,C43/L43,0)+R43</f>
        <v/>
      </c>
      <c r="T43">
        <f>S43-M43</f>
        <v/>
      </c>
      <c r="U43">
        <f>IF(O43&gt;=Inputs_State!$B$4,"RED",IF(O43&gt;=Inputs_State!$B$3,"AMBER","GREEN"))</f>
        <v/>
      </c>
    </row>
    <row r="44">
      <c r="A44" t="inlineStr">
        <is>
          <t>McLeod</t>
        </is>
      </c>
      <c r="B44">
        <f>Inputs_State!$B$1</f>
        <v/>
      </c>
      <c r="C44">
        <f>SUMIFS(tblArrivals[Points],tblArrivals[County],A44)</f>
        <v/>
      </c>
      <c r="D44">
        <f>SUMIFS(tblComplexity[Cases_Current],tblComplexity[County],A44)</f>
        <v/>
      </c>
      <c r="E44">
        <f>SUMIFS(tblComplexity[Weight_Current],tblComplexity[County],A44)</f>
        <v/>
      </c>
      <c r="F44">
        <f>IF(D44&gt;0,E44/D44,0)</f>
        <v/>
      </c>
      <c r="G44">
        <f>SUMIFS(tblComplexity[Cases_Baseline],tblComplexity[County],A44)</f>
        <v/>
      </c>
      <c r="H44">
        <f>SUMIFS(tblComplexity[Weight_Baseline],tblComplexity[County],A44)</f>
        <v/>
      </c>
      <c r="I44">
        <f>IF(G44&gt;0,H44/G44,0)</f>
        <v/>
      </c>
      <c r="J44">
        <f>IF(I44&gt;0,F44/I44,1)</f>
        <v/>
      </c>
      <c r="K44">
        <f>IFERROR(VLOOKUP(A44,tblBaseline,6,FALSE)/VLOOKUP(A44,tblBaseline,7,FALSE),0)</f>
        <v/>
      </c>
      <c r="L44">
        <f>IF(J44&gt;0,K44/J44,0)</f>
        <v/>
      </c>
      <c r="M44">
        <f>IFERROR(VLOOKUP(A44,tblBaseline,3,FALSE),0)</f>
        <v/>
      </c>
      <c r="N44">
        <f>M44*L44</f>
        <v/>
      </c>
      <c r="O44">
        <f>IF(N44&gt;0,C44/N44,0)</f>
        <v/>
      </c>
      <c r="P44">
        <f>IFERROR(VLOOKUP(A44,tblBaseline,5,FALSE),0)</f>
        <v/>
      </c>
      <c r="Q44">
        <f>P44+C44-N44</f>
        <v/>
      </c>
      <c r="R44">
        <f>IFERROR(VLOOKUP(A44,tblBaseline,4,FALSE),Inputs_State!$B$5)</f>
        <v/>
      </c>
      <c r="S44">
        <f>IF(L44&gt;0,C44/L44,0)+R44</f>
        <v/>
      </c>
      <c r="T44">
        <f>S44-M44</f>
        <v/>
      </c>
      <c r="U44">
        <f>IF(O44&gt;=Inputs_State!$B$4,"RED",IF(O44&gt;=Inputs_State!$B$3,"AMBER","GREEN"))</f>
        <v/>
      </c>
    </row>
    <row r="45">
      <c r="A45" t="inlineStr">
        <is>
          <t>Mahnomen</t>
        </is>
      </c>
      <c r="B45">
        <f>Inputs_State!$B$1</f>
        <v/>
      </c>
      <c r="C45">
        <f>SUMIFS(tblArrivals[Points],tblArrivals[County],A45)</f>
        <v/>
      </c>
      <c r="D45">
        <f>SUMIFS(tblComplexity[Cases_Current],tblComplexity[County],A45)</f>
        <v/>
      </c>
      <c r="E45">
        <f>SUMIFS(tblComplexity[Weight_Current],tblComplexity[County],A45)</f>
        <v/>
      </c>
      <c r="F45">
        <f>IF(D45&gt;0,E45/D45,0)</f>
        <v/>
      </c>
      <c r="G45">
        <f>SUMIFS(tblComplexity[Cases_Baseline],tblComplexity[County],A45)</f>
        <v/>
      </c>
      <c r="H45">
        <f>SUMIFS(tblComplexity[Weight_Baseline],tblComplexity[County],A45)</f>
        <v/>
      </c>
      <c r="I45">
        <f>IF(G45&gt;0,H45/G45,0)</f>
        <v/>
      </c>
      <c r="J45">
        <f>IF(I45&gt;0,F45/I45,1)</f>
        <v/>
      </c>
      <c r="K45">
        <f>IFERROR(VLOOKUP(A45,tblBaseline,6,FALSE)/VLOOKUP(A45,tblBaseline,7,FALSE),0)</f>
        <v/>
      </c>
      <c r="L45">
        <f>IF(J45&gt;0,K45/J45,0)</f>
        <v/>
      </c>
      <c r="M45">
        <f>IFERROR(VLOOKUP(A45,tblBaseline,3,FALSE),0)</f>
        <v/>
      </c>
      <c r="N45">
        <f>M45*L45</f>
        <v/>
      </c>
      <c r="O45">
        <f>IF(N45&gt;0,C45/N45,0)</f>
        <v/>
      </c>
      <c r="P45">
        <f>IFERROR(VLOOKUP(A45,tblBaseline,5,FALSE),0)</f>
        <v/>
      </c>
      <c r="Q45">
        <f>P45+C45-N45</f>
        <v/>
      </c>
      <c r="R45">
        <f>IFERROR(VLOOKUP(A45,tblBaseline,4,FALSE),Inputs_State!$B$5)</f>
        <v/>
      </c>
      <c r="S45">
        <f>IF(L45&gt;0,C45/L45,0)+R45</f>
        <v/>
      </c>
      <c r="T45">
        <f>S45-M45</f>
        <v/>
      </c>
      <c r="U45">
        <f>IF(O45&gt;=Inputs_State!$B$4,"RED",IF(O45&gt;=Inputs_State!$B$3,"AMBER","GREEN"))</f>
        <v/>
      </c>
    </row>
    <row r="46">
      <c r="A46" t="inlineStr">
        <is>
          <t>Marshall</t>
        </is>
      </c>
      <c r="B46">
        <f>Inputs_State!$B$1</f>
        <v/>
      </c>
      <c r="C46">
        <f>SUMIFS(tblArrivals[Points],tblArrivals[County],A46)</f>
        <v/>
      </c>
      <c r="D46">
        <f>SUMIFS(tblComplexity[Cases_Current],tblComplexity[County],A46)</f>
        <v/>
      </c>
      <c r="E46">
        <f>SUMIFS(tblComplexity[Weight_Current],tblComplexity[County],A46)</f>
        <v/>
      </c>
      <c r="F46">
        <f>IF(D46&gt;0,E46/D46,0)</f>
        <v/>
      </c>
      <c r="G46">
        <f>SUMIFS(tblComplexity[Cases_Baseline],tblComplexity[County],A46)</f>
        <v/>
      </c>
      <c r="H46">
        <f>SUMIFS(tblComplexity[Weight_Baseline],tblComplexity[County],A46)</f>
        <v/>
      </c>
      <c r="I46">
        <f>IF(G46&gt;0,H46/G46,0)</f>
        <v/>
      </c>
      <c r="J46">
        <f>IF(I46&gt;0,F46/I46,1)</f>
        <v/>
      </c>
      <c r="K46">
        <f>IFERROR(VLOOKUP(A46,tblBaseline,6,FALSE)/VLOOKUP(A46,tblBaseline,7,FALSE),0)</f>
        <v/>
      </c>
      <c r="L46">
        <f>IF(J46&gt;0,K46/J46,0)</f>
        <v/>
      </c>
      <c r="M46">
        <f>IFERROR(VLOOKUP(A46,tblBaseline,3,FALSE),0)</f>
        <v/>
      </c>
      <c r="N46">
        <f>M46*L46</f>
        <v/>
      </c>
      <c r="O46">
        <f>IF(N46&gt;0,C46/N46,0)</f>
        <v/>
      </c>
      <c r="P46">
        <f>IFERROR(VLOOKUP(A46,tblBaseline,5,FALSE),0)</f>
        <v/>
      </c>
      <c r="Q46">
        <f>P46+C46-N46</f>
        <v/>
      </c>
      <c r="R46">
        <f>IFERROR(VLOOKUP(A46,tblBaseline,4,FALSE),Inputs_State!$B$5)</f>
        <v/>
      </c>
      <c r="S46">
        <f>IF(L46&gt;0,C46/L46,0)+R46</f>
        <v/>
      </c>
      <c r="T46">
        <f>S46-M46</f>
        <v/>
      </c>
      <c r="U46">
        <f>IF(O46&gt;=Inputs_State!$B$4,"RED",IF(O46&gt;=Inputs_State!$B$3,"AMBER","GREEN"))</f>
        <v/>
      </c>
    </row>
    <row r="47">
      <c r="A47" t="inlineStr">
        <is>
          <t>Martin</t>
        </is>
      </c>
      <c r="B47">
        <f>Inputs_State!$B$1</f>
        <v/>
      </c>
      <c r="C47">
        <f>SUMIFS(tblArrivals[Points],tblArrivals[County],A47)</f>
        <v/>
      </c>
      <c r="D47">
        <f>SUMIFS(tblComplexity[Cases_Current],tblComplexity[County],A47)</f>
        <v/>
      </c>
      <c r="E47">
        <f>SUMIFS(tblComplexity[Weight_Current],tblComplexity[County],A47)</f>
        <v/>
      </c>
      <c r="F47">
        <f>IF(D47&gt;0,E47/D47,0)</f>
        <v/>
      </c>
      <c r="G47">
        <f>SUMIFS(tblComplexity[Cases_Baseline],tblComplexity[County],A47)</f>
        <v/>
      </c>
      <c r="H47">
        <f>SUMIFS(tblComplexity[Weight_Baseline],tblComplexity[County],A47)</f>
        <v/>
      </c>
      <c r="I47">
        <f>IF(G47&gt;0,H47/G47,0)</f>
        <v/>
      </c>
      <c r="J47">
        <f>IF(I47&gt;0,F47/I47,1)</f>
        <v/>
      </c>
      <c r="K47">
        <f>IFERROR(VLOOKUP(A47,tblBaseline,6,FALSE)/VLOOKUP(A47,tblBaseline,7,FALSE),0)</f>
        <v/>
      </c>
      <c r="L47">
        <f>IF(J47&gt;0,K47/J47,0)</f>
        <v/>
      </c>
      <c r="M47">
        <f>IFERROR(VLOOKUP(A47,tblBaseline,3,FALSE),0)</f>
        <v/>
      </c>
      <c r="N47">
        <f>M47*L47</f>
        <v/>
      </c>
      <c r="O47">
        <f>IF(N47&gt;0,C47/N47,0)</f>
        <v/>
      </c>
      <c r="P47">
        <f>IFERROR(VLOOKUP(A47,tblBaseline,5,FALSE),0)</f>
        <v/>
      </c>
      <c r="Q47">
        <f>P47+C47-N47</f>
        <v/>
      </c>
      <c r="R47">
        <f>IFERROR(VLOOKUP(A47,tblBaseline,4,FALSE),Inputs_State!$B$5)</f>
        <v/>
      </c>
      <c r="S47">
        <f>IF(L47&gt;0,C47/L47,0)+R47</f>
        <v/>
      </c>
      <c r="T47">
        <f>S47-M47</f>
        <v/>
      </c>
      <c r="U47">
        <f>IF(O47&gt;=Inputs_State!$B$4,"RED",IF(O47&gt;=Inputs_State!$B$3,"AMBER","GREEN"))</f>
        <v/>
      </c>
    </row>
    <row r="48">
      <c r="A48" t="inlineStr">
        <is>
          <t>Meeker</t>
        </is>
      </c>
      <c r="B48">
        <f>Inputs_State!$B$1</f>
        <v/>
      </c>
      <c r="C48">
        <f>SUMIFS(tblArrivals[Points],tblArrivals[County],A48)</f>
        <v/>
      </c>
      <c r="D48">
        <f>SUMIFS(tblComplexity[Cases_Current],tblComplexity[County],A48)</f>
        <v/>
      </c>
      <c r="E48">
        <f>SUMIFS(tblComplexity[Weight_Current],tblComplexity[County],A48)</f>
        <v/>
      </c>
      <c r="F48">
        <f>IF(D48&gt;0,E48/D48,0)</f>
        <v/>
      </c>
      <c r="G48">
        <f>SUMIFS(tblComplexity[Cases_Baseline],tblComplexity[County],A48)</f>
        <v/>
      </c>
      <c r="H48">
        <f>SUMIFS(tblComplexity[Weight_Baseline],tblComplexity[County],A48)</f>
        <v/>
      </c>
      <c r="I48">
        <f>IF(G48&gt;0,H48/G48,0)</f>
        <v/>
      </c>
      <c r="J48">
        <f>IF(I48&gt;0,F48/I48,1)</f>
        <v/>
      </c>
      <c r="K48">
        <f>IFERROR(VLOOKUP(A48,tblBaseline,6,FALSE)/VLOOKUP(A48,tblBaseline,7,FALSE),0)</f>
        <v/>
      </c>
      <c r="L48">
        <f>IF(J48&gt;0,K48/J48,0)</f>
        <v/>
      </c>
      <c r="M48">
        <f>IFERROR(VLOOKUP(A48,tblBaseline,3,FALSE),0)</f>
        <v/>
      </c>
      <c r="N48">
        <f>M48*L48</f>
        <v/>
      </c>
      <c r="O48">
        <f>IF(N48&gt;0,C48/N48,0)</f>
        <v/>
      </c>
      <c r="P48">
        <f>IFERROR(VLOOKUP(A48,tblBaseline,5,FALSE),0)</f>
        <v/>
      </c>
      <c r="Q48">
        <f>P48+C48-N48</f>
        <v/>
      </c>
      <c r="R48">
        <f>IFERROR(VLOOKUP(A48,tblBaseline,4,FALSE),Inputs_State!$B$5)</f>
        <v/>
      </c>
      <c r="S48">
        <f>IF(L48&gt;0,C48/L48,0)+R48</f>
        <v/>
      </c>
      <c r="T48">
        <f>S48-M48</f>
        <v/>
      </c>
      <c r="U48">
        <f>IF(O48&gt;=Inputs_State!$B$4,"RED",IF(O48&gt;=Inputs_State!$B$3,"AMBER","GREEN"))</f>
        <v/>
      </c>
    </row>
    <row r="49">
      <c r="A49" t="inlineStr">
        <is>
          <t>Mille Lacs</t>
        </is>
      </c>
      <c r="B49">
        <f>Inputs_State!$B$1</f>
        <v/>
      </c>
      <c r="C49">
        <f>SUMIFS(tblArrivals[Points],tblArrivals[County],A49)</f>
        <v/>
      </c>
      <c r="D49">
        <f>SUMIFS(tblComplexity[Cases_Current],tblComplexity[County],A49)</f>
        <v/>
      </c>
      <c r="E49">
        <f>SUMIFS(tblComplexity[Weight_Current],tblComplexity[County],A49)</f>
        <v/>
      </c>
      <c r="F49">
        <f>IF(D49&gt;0,E49/D49,0)</f>
        <v/>
      </c>
      <c r="G49">
        <f>SUMIFS(tblComplexity[Cases_Baseline],tblComplexity[County],A49)</f>
        <v/>
      </c>
      <c r="H49">
        <f>SUMIFS(tblComplexity[Weight_Baseline],tblComplexity[County],A49)</f>
        <v/>
      </c>
      <c r="I49">
        <f>IF(G49&gt;0,H49/G49,0)</f>
        <v/>
      </c>
      <c r="J49">
        <f>IF(I49&gt;0,F49/I49,1)</f>
        <v/>
      </c>
      <c r="K49">
        <f>IFERROR(VLOOKUP(A49,tblBaseline,6,FALSE)/VLOOKUP(A49,tblBaseline,7,FALSE),0)</f>
        <v/>
      </c>
      <c r="L49">
        <f>IF(J49&gt;0,K49/J49,0)</f>
        <v/>
      </c>
      <c r="M49">
        <f>IFERROR(VLOOKUP(A49,tblBaseline,3,FALSE),0)</f>
        <v/>
      </c>
      <c r="N49">
        <f>M49*L49</f>
        <v/>
      </c>
      <c r="O49">
        <f>IF(N49&gt;0,C49/N49,0)</f>
        <v/>
      </c>
      <c r="P49">
        <f>IFERROR(VLOOKUP(A49,tblBaseline,5,FALSE),0)</f>
        <v/>
      </c>
      <c r="Q49">
        <f>P49+C49-N49</f>
        <v/>
      </c>
      <c r="R49">
        <f>IFERROR(VLOOKUP(A49,tblBaseline,4,FALSE),Inputs_State!$B$5)</f>
        <v/>
      </c>
      <c r="S49">
        <f>IF(L49&gt;0,C49/L49,0)+R49</f>
        <v/>
      </c>
      <c r="T49">
        <f>S49-M49</f>
        <v/>
      </c>
      <c r="U49">
        <f>IF(O49&gt;=Inputs_State!$B$4,"RED",IF(O49&gt;=Inputs_State!$B$3,"AMBER","GREEN"))</f>
        <v/>
      </c>
    </row>
    <row r="50">
      <c r="A50" t="inlineStr">
        <is>
          <t>Morrison</t>
        </is>
      </c>
      <c r="B50">
        <f>Inputs_State!$B$1</f>
        <v/>
      </c>
      <c r="C50">
        <f>SUMIFS(tblArrivals[Points],tblArrivals[County],A50)</f>
        <v/>
      </c>
      <c r="D50">
        <f>SUMIFS(tblComplexity[Cases_Current],tblComplexity[County],A50)</f>
        <v/>
      </c>
      <c r="E50">
        <f>SUMIFS(tblComplexity[Weight_Current],tblComplexity[County],A50)</f>
        <v/>
      </c>
      <c r="F50">
        <f>IF(D50&gt;0,E50/D50,0)</f>
        <v/>
      </c>
      <c r="G50">
        <f>SUMIFS(tblComplexity[Cases_Baseline],tblComplexity[County],A50)</f>
        <v/>
      </c>
      <c r="H50">
        <f>SUMIFS(tblComplexity[Weight_Baseline],tblComplexity[County],A50)</f>
        <v/>
      </c>
      <c r="I50">
        <f>IF(G50&gt;0,H50/G50,0)</f>
        <v/>
      </c>
      <c r="J50">
        <f>IF(I50&gt;0,F50/I50,1)</f>
        <v/>
      </c>
      <c r="K50">
        <f>IFERROR(VLOOKUP(A50,tblBaseline,6,FALSE)/VLOOKUP(A50,tblBaseline,7,FALSE),0)</f>
        <v/>
      </c>
      <c r="L50">
        <f>IF(J50&gt;0,K50/J50,0)</f>
        <v/>
      </c>
      <c r="M50">
        <f>IFERROR(VLOOKUP(A50,tblBaseline,3,FALSE),0)</f>
        <v/>
      </c>
      <c r="N50">
        <f>M50*L50</f>
        <v/>
      </c>
      <c r="O50">
        <f>IF(N50&gt;0,C50/N50,0)</f>
        <v/>
      </c>
      <c r="P50">
        <f>IFERROR(VLOOKUP(A50,tblBaseline,5,FALSE),0)</f>
        <v/>
      </c>
      <c r="Q50">
        <f>P50+C50-N50</f>
        <v/>
      </c>
      <c r="R50">
        <f>IFERROR(VLOOKUP(A50,tblBaseline,4,FALSE),Inputs_State!$B$5)</f>
        <v/>
      </c>
      <c r="S50">
        <f>IF(L50&gt;0,C50/L50,0)+R50</f>
        <v/>
      </c>
      <c r="T50">
        <f>S50-M50</f>
        <v/>
      </c>
      <c r="U50">
        <f>IF(O50&gt;=Inputs_State!$B$4,"RED",IF(O50&gt;=Inputs_State!$B$3,"AMBER","GREEN"))</f>
        <v/>
      </c>
    </row>
    <row r="51">
      <c r="A51" t="inlineStr">
        <is>
          <t>Mower</t>
        </is>
      </c>
      <c r="B51">
        <f>Inputs_State!$B$1</f>
        <v/>
      </c>
      <c r="C51">
        <f>SUMIFS(tblArrivals[Points],tblArrivals[County],A51)</f>
        <v/>
      </c>
      <c r="D51">
        <f>SUMIFS(tblComplexity[Cases_Current],tblComplexity[County],A51)</f>
        <v/>
      </c>
      <c r="E51">
        <f>SUMIFS(tblComplexity[Weight_Current],tblComplexity[County],A51)</f>
        <v/>
      </c>
      <c r="F51">
        <f>IF(D51&gt;0,E51/D51,0)</f>
        <v/>
      </c>
      <c r="G51">
        <f>SUMIFS(tblComplexity[Cases_Baseline],tblComplexity[County],A51)</f>
        <v/>
      </c>
      <c r="H51">
        <f>SUMIFS(tblComplexity[Weight_Baseline],tblComplexity[County],A51)</f>
        <v/>
      </c>
      <c r="I51">
        <f>IF(G51&gt;0,H51/G51,0)</f>
        <v/>
      </c>
      <c r="J51">
        <f>IF(I51&gt;0,F51/I51,1)</f>
        <v/>
      </c>
      <c r="K51">
        <f>IFERROR(VLOOKUP(A51,tblBaseline,6,FALSE)/VLOOKUP(A51,tblBaseline,7,FALSE),0)</f>
        <v/>
      </c>
      <c r="L51">
        <f>IF(J51&gt;0,K51/J51,0)</f>
        <v/>
      </c>
      <c r="M51">
        <f>IFERROR(VLOOKUP(A51,tblBaseline,3,FALSE),0)</f>
        <v/>
      </c>
      <c r="N51">
        <f>M51*L51</f>
        <v/>
      </c>
      <c r="O51">
        <f>IF(N51&gt;0,C51/N51,0)</f>
        <v/>
      </c>
      <c r="P51">
        <f>IFERROR(VLOOKUP(A51,tblBaseline,5,FALSE),0)</f>
        <v/>
      </c>
      <c r="Q51">
        <f>P51+C51-N51</f>
        <v/>
      </c>
      <c r="R51">
        <f>IFERROR(VLOOKUP(A51,tblBaseline,4,FALSE),Inputs_State!$B$5)</f>
        <v/>
      </c>
      <c r="S51">
        <f>IF(L51&gt;0,C51/L51,0)+R51</f>
        <v/>
      </c>
      <c r="T51">
        <f>S51-M51</f>
        <v/>
      </c>
      <c r="U51">
        <f>IF(O51&gt;=Inputs_State!$B$4,"RED",IF(O51&gt;=Inputs_State!$B$3,"AMBER","GREEN"))</f>
        <v/>
      </c>
    </row>
    <row r="52">
      <c r="A52" t="inlineStr">
        <is>
          <t>Murray</t>
        </is>
      </c>
      <c r="B52">
        <f>Inputs_State!$B$1</f>
        <v/>
      </c>
      <c r="C52">
        <f>SUMIFS(tblArrivals[Points],tblArrivals[County],A52)</f>
        <v/>
      </c>
      <c r="D52">
        <f>SUMIFS(tblComplexity[Cases_Current],tblComplexity[County],A52)</f>
        <v/>
      </c>
      <c r="E52">
        <f>SUMIFS(tblComplexity[Weight_Current],tblComplexity[County],A52)</f>
        <v/>
      </c>
      <c r="F52">
        <f>IF(D52&gt;0,E52/D52,0)</f>
        <v/>
      </c>
      <c r="G52">
        <f>SUMIFS(tblComplexity[Cases_Baseline],tblComplexity[County],A52)</f>
        <v/>
      </c>
      <c r="H52">
        <f>SUMIFS(tblComplexity[Weight_Baseline],tblComplexity[County],A52)</f>
        <v/>
      </c>
      <c r="I52">
        <f>IF(G52&gt;0,H52/G52,0)</f>
        <v/>
      </c>
      <c r="J52">
        <f>IF(I52&gt;0,F52/I52,1)</f>
        <v/>
      </c>
      <c r="K52">
        <f>IFERROR(VLOOKUP(A52,tblBaseline,6,FALSE)/VLOOKUP(A52,tblBaseline,7,FALSE),0)</f>
        <v/>
      </c>
      <c r="L52">
        <f>IF(J52&gt;0,K52/J52,0)</f>
        <v/>
      </c>
      <c r="M52">
        <f>IFERROR(VLOOKUP(A52,tblBaseline,3,FALSE),0)</f>
        <v/>
      </c>
      <c r="N52">
        <f>M52*L52</f>
        <v/>
      </c>
      <c r="O52">
        <f>IF(N52&gt;0,C52/N52,0)</f>
        <v/>
      </c>
      <c r="P52">
        <f>IFERROR(VLOOKUP(A52,tblBaseline,5,FALSE),0)</f>
        <v/>
      </c>
      <c r="Q52">
        <f>P52+C52-N52</f>
        <v/>
      </c>
      <c r="R52">
        <f>IFERROR(VLOOKUP(A52,tblBaseline,4,FALSE),Inputs_State!$B$5)</f>
        <v/>
      </c>
      <c r="S52">
        <f>IF(L52&gt;0,C52/L52,0)+R52</f>
        <v/>
      </c>
      <c r="T52">
        <f>S52-M52</f>
        <v/>
      </c>
      <c r="U52">
        <f>IF(O52&gt;=Inputs_State!$B$4,"RED",IF(O52&gt;=Inputs_State!$B$3,"AMBER","GREEN"))</f>
        <v/>
      </c>
    </row>
    <row r="53">
      <c r="A53" t="inlineStr">
        <is>
          <t>Nicollet</t>
        </is>
      </c>
      <c r="B53">
        <f>Inputs_State!$B$1</f>
        <v/>
      </c>
      <c r="C53">
        <f>SUMIFS(tblArrivals[Points],tblArrivals[County],A53)</f>
        <v/>
      </c>
      <c r="D53">
        <f>SUMIFS(tblComplexity[Cases_Current],tblComplexity[County],A53)</f>
        <v/>
      </c>
      <c r="E53">
        <f>SUMIFS(tblComplexity[Weight_Current],tblComplexity[County],A53)</f>
        <v/>
      </c>
      <c r="F53">
        <f>IF(D53&gt;0,E53/D53,0)</f>
        <v/>
      </c>
      <c r="G53">
        <f>SUMIFS(tblComplexity[Cases_Baseline],tblComplexity[County],A53)</f>
        <v/>
      </c>
      <c r="H53">
        <f>SUMIFS(tblComplexity[Weight_Baseline],tblComplexity[County],A53)</f>
        <v/>
      </c>
      <c r="I53">
        <f>IF(G53&gt;0,H53/G53,0)</f>
        <v/>
      </c>
      <c r="J53">
        <f>IF(I53&gt;0,F53/I53,1)</f>
        <v/>
      </c>
      <c r="K53">
        <f>IFERROR(VLOOKUP(A53,tblBaseline,6,FALSE)/VLOOKUP(A53,tblBaseline,7,FALSE),0)</f>
        <v/>
      </c>
      <c r="L53">
        <f>IF(J53&gt;0,K53/J53,0)</f>
        <v/>
      </c>
      <c r="M53">
        <f>IFERROR(VLOOKUP(A53,tblBaseline,3,FALSE),0)</f>
        <v/>
      </c>
      <c r="N53">
        <f>M53*L53</f>
        <v/>
      </c>
      <c r="O53">
        <f>IF(N53&gt;0,C53/N53,0)</f>
        <v/>
      </c>
      <c r="P53">
        <f>IFERROR(VLOOKUP(A53,tblBaseline,5,FALSE),0)</f>
        <v/>
      </c>
      <c r="Q53">
        <f>P53+C53-N53</f>
        <v/>
      </c>
      <c r="R53">
        <f>IFERROR(VLOOKUP(A53,tblBaseline,4,FALSE),Inputs_State!$B$5)</f>
        <v/>
      </c>
      <c r="S53">
        <f>IF(L53&gt;0,C53/L53,0)+R53</f>
        <v/>
      </c>
      <c r="T53">
        <f>S53-M53</f>
        <v/>
      </c>
      <c r="U53">
        <f>IF(O53&gt;=Inputs_State!$B$4,"RED",IF(O53&gt;=Inputs_State!$B$3,"AMBER","GREEN"))</f>
        <v/>
      </c>
    </row>
    <row r="54">
      <c r="A54" t="inlineStr">
        <is>
          <t>Nobles</t>
        </is>
      </c>
      <c r="B54">
        <f>Inputs_State!$B$1</f>
        <v/>
      </c>
      <c r="C54">
        <f>SUMIFS(tblArrivals[Points],tblArrivals[County],A54)</f>
        <v/>
      </c>
      <c r="D54">
        <f>SUMIFS(tblComplexity[Cases_Current],tblComplexity[County],A54)</f>
        <v/>
      </c>
      <c r="E54">
        <f>SUMIFS(tblComplexity[Weight_Current],tblComplexity[County],A54)</f>
        <v/>
      </c>
      <c r="F54">
        <f>IF(D54&gt;0,E54/D54,0)</f>
        <v/>
      </c>
      <c r="G54">
        <f>SUMIFS(tblComplexity[Cases_Baseline],tblComplexity[County],A54)</f>
        <v/>
      </c>
      <c r="H54">
        <f>SUMIFS(tblComplexity[Weight_Baseline],tblComplexity[County],A54)</f>
        <v/>
      </c>
      <c r="I54">
        <f>IF(G54&gt;0,H54/G54,0)</f>
        <v/>
      </c>
      <c r="J54">
        <f>IF(I54&gt;0,F54/I54,1)</f>
        <v/>
      </c>
      <c r="K54">
        <f>IFERROR(VLOOKUP(A54,tblBaseline,6,FALSE)/VLOOKUP(A54,tblBaseline,7,FALSE),0)</f>
        <v/>
      </c>
      <c r="L54">
        <f>IF(J54&gt;0,K54/J54,0)</f>
        <v/>
      </c>
      <c r="M54">
        <f>IFERROR(VLOOKUP(A54,tblBaseline,3,FALSE),0)</f>
        <v/>
      </c>
      <c r="N54">
        <f>M54*L54</f>
        <v/>
      </c>
      <c r="O54">
        <f>IF(N54&gt;0,C54/N54,0)</f>
        <v/>
      </c>
      <c r="P54">
        <f>IFERROR(VLOOKUP(A54,tblBaseline,5,FALSE),0)</f>
        <v/>
      </c>
      <c r="Q54">
        <f>P54+C54-N54</f>
        <v/>
      </c>
      <c r="R54">
        <f>IFERROR(VLOOKUP(A54,tblBaseline,4,FALSE),Inputs_State!$B$5)</f>
        <v/>
      </c>
      <c r="S54">
        <f>IF(L54&gt;0,C54/L54,0)+R54</f>
        <v/>
      </c>
      <c r="T54">
        <f>S54-M54</f>
        <v/>
      </c>
      <c r="U54">
        <f>IF(O54&gt;=Inputs_State!$B$4,"RED",IF(O54&gt;=Inputs_State!$B$3,"AMBER","GREEN"))</f>
        <v/>
      </c>
    </row>
    <row r="55">
      <c r="A55" t="inlineStr">
        <is>
          <t>Norman</t>
        </is>
      </c>
      <c r="B55">
        <f>Inputs_State!$B$1</f>
        <v/>
      </c>
      <c r="C55">
        <f>SUMIFS(tblArrivals[Points],tblArrivals[County],A55)</f>
        <v/>
      </c>
      <c r="D55">
        <f>SUMIFS(tblComplexity[Cases_Current],tblComplexity[County],A55)</f>
        <v/>
      </c>
      <c r="E55">
        <f>SUMIFS(tblComplexity[Weight_Current],tblComplexity[County],A55)</f>
        <v/>
      </c>
      <c r="F55">
        <f>IF(D55&gt;0,E55/D55,0)</f>
        <v/>
      </c>
      <c r="G55">
        <f>SUMIFS(tblComplexity[Cases_Baseline],tblComplexity[County],A55)</f>
        <v/>
      </c>
      <c r="H55">
        <f>SUMIFS(tblComplexity[Weight_Baseline],tblComplexity[County],A55)</f>
        <v/>
      </c>
      <c r="I55">
        <f>IF(G55&gt;0,H55/G55,0)</f>
        <v/>
      </c>
      <c r="J55">
        <f>IF(I55&gt;0,F55/I55,1)</f>
        <v/>
      </c>
      <c r="K55">
        <f>IFERROR(VLOOKUP(A55,tblBaseline,6,FALSE)/VLOOKUP(A55,tblBaseline,7,FALSE),0)</f>
        <v/>
      </c>
      <c r="L55">
        <f>IF(J55&gt;0,K55/J55,0)</f>
        <v/>
      </c>
      <c r="M55">
        <f>IFERROR(VLOOKUP(A55,tblBaseline,3,FALSE),0)</f>
        <v/>
      </c>
      <c r="N55">
        <f>M55*L55</f>
        <v/>
      </c>
      <c r="O55">
        <f>IF(N55&gt;0,C55/N55,0)</f>
        <v/>
      </c>
      <c r="P55">
        <f>IFERROR(VLOOKUP(A55,tblBaseline,5,FALSE),0)</f>
        <v/>
      </c>
      <c r="Q55">
        <f>P55+C55-N55</f>
        <v/>
      </c>
      <c r="R55">
        <f>IFERROR(VLOOKUP(A55,tblBaseline,4,FALSE),Inputs_State!$B$5)</f>
        <v/>
      </c>
      <c r="S55">
        <f>IF(L55&gt;0,C55/L55,0)+R55</f>
        <v/>
      </c>
      <c r="T55">
        <f>S55-M55</f>
        <v/>
      </c>
      <c r="U55">
        <f>IF(O55&gt;=Inputs_State!$B$4,"RED",IF(O55&gt;=Inputs_State!$B$3,"AMBER","GREEN"))</f>
        <v/>
      </c>
    </row>
    <row r="56">
      <c r="A56" t="inlineStr">
        <is>
          <t>Olmsted</t>
        </is>
      </c>
      <c r="B56">
        <f>Inputs_State!$B$1</f>
        <v/>
      </c>
      <c r="C56">
        <f>SUMIFS(tblArrivals[Points],tblArrivals[County],A56)</f>
        <v/>
      </c>
      <c r="D56">
        <f>SUMIFS(tblComplexity[Cases_Current],tblComplexity[County],A56)</f>
        <v/>
      </c>
      <c r="E56">
        <f>SUMIFS(tblComplexity[Weight_Current],tblComplexity[County],A56)</f>
        <v/>
      </c>
      <c r="F56">
        <f>IF(D56&gt;0,E56/D56,0)</f>
        <v/>
      </c>
      <c r="G56">
        <f>SUMIFS(tblComplexity[Cases_Baseline],tblComplexity[County],A56)</f>
        <v/>
      </c>
      <c r="H56">
        <f>SUMIFS(tblComplexity[Weight_Baseline],tblComplexity[County],A56)</f>
        <v/>
      </c>
      <c r="I56">
        <f>IF(G56&gt;0,H56/G56,0)</f>
        <v/>
      </c>
      <c r="J56">
        <f>IF(I56&gt;0,F56/I56,1)</f>
        <v/>
      </c>
      <c r="K56">
        <f>IFERROR(VLOOKUP(A56,tblBaseline,6,FALSE)/VLOOKUP(A56,tblBaseline,7,FALSE),0)</f>
        <v/>
      </c>
      <c r="L56">
        <f>IF(J56&gt;0,K56/J56,0)</f>
        <v/>
      </c>
      <c r="M56">
        <f>IFERROR(VLOOKUP(A56,tblBaseline,3,FALSE),0)</f>
        <v/>
      </c>
      <c r="N56">
        <f>M56*L56</f>
        <v/>
      </c>
      <c r="O56">
        <f>IF(N56&gt;0,C56/N56,0)</f>
        <v/>
      </c>
      <c r="P56">
        <f>IFERROR(VLOOKUP(A56,tblBaseline,5,FALSE),0)</f>
        <v/>
      </c>
      <c r="Q56">
        <f>P56+C56-N56</f>
        <v/>
      </c>
      <c r="R56">
        <f>IFERROR(VLOOKUP(A56,tblBaseline,4,FALSE),Inputs_State!$B$5)</f>
        <v/>
      </c>
      <c r="S56">
        <f>IF(L56&gt;0,C56/L56,0)+R56</f>
        <v/>
      </c>
      <c r="T56">
        <f>S56-M56</f>
        <v/>
      </c>
      <c r="U56">
        <f>IF(O56&gt;=Inputs_State!$B$4,"RED",IF(O56&gt;=Inputs_State!$B$3,"AMBER","GREEN"))</f>
        <v/>
      </c>
    </row>
    <row r="57">
      <c r="A57" t="inlineStr">
        <is>
          <t>Otter Tail</t>
        </is>
      </c>
      <c r="B57">
        <f>Inputs_State!$B$1</f>
        <v/>
      </c>
      <c r="C57">
        <f>SUMIFS(tblArrivals[Points],tblArrivals[County],A57)</f>
        <v/>
      </c>
      <c r="D57">
        <f>SUMIFS(tblComplexity[Cases_Current],tblComplexity[County],A57)</f>
        <v/>
      </c>
      <c r="E57">
        <f>SUMIFS(tblComplexity[Weight_Current],tblComplexity[County],A57)</f>
        <v/>
      </c>
      <c r="F57">
        <f>IF(D57&gt;0,E57/D57,0)</f>
        <v/>
      </c>
      <c r="G57">
        <f>SUMIFS(tblComplexity[Cases_Baseline],tblComplexity[County],A57)</f>
        <v/>
      </c>
      <c r="H57">
        <f>SUMIFS(tblComplexity[Weight_Baseline],tblComplexity[County],A57)</f>
        <v/>
      </c>
      <c r="I57">
        <f>IF(G57&gt;0,H57/G57,0)</f>
        <v/>
      </c>
      <c r="J57">
        <f>IF(I57&gt;0,F57/I57,1)</f>
        <v/>
      </c>
      <c r="K57">
        <f>IFERROR(VLOOKUP(A57,tblBaseline,6,FALSE)/VLOOKUP(A57,tblBaseline,7,FALSE),0)</f>
        <v/>
      </c>
      <c r="L57">
        <f>IF(J57&gt;0,K57/J57,0)</f>
        <v/>
      </c>
      <c r="M57">
        <f>IFERROR(VLOOKUP(A57,tblBaseline,3,FALSE),0)</f>
        <v/>
      </c>
      <c r="N57">
        <f>M57*L57</f>
        <v/>
      </c>
      <c r="O57">
        <f>IF(N57&gt;0,C57/N57,0)</f>
        <v/>
      </c>
      <c r="P57">
        <f>IFERROR(VLOOKUP(A57,tblBaseline,5,FALSE),0)</f>
        <v/>
      </c>
      <c r="Q57">
        <f>P57+C57-N57</f>
        <v/>
      </c>
      <c r="R57">
        <f>IFERROR(VLOOKUP(A57,tblBaseline,4,FALSE),Inputs_State!$B$5)</f>
        <v/>
      </c>
      <c r="S57">
        <f>IF(L57&gt;0,C57/L57,0)+R57</f>
        <v/>
      </c>
      <c r="T57">
        <f>S57-M57</f>
        <v/>
      </c>
      <c r="U57">
        <f>IF(O57&gt;=Inputs_State!$B$4,"RED",IF(O57&gt;=Inputs_State!$B$3,"AMBER","GREEN"))</f>
        <v/>
      </c>
    </row>
    <row r="58">
      <c r="A58" t="inlineStr">
        <is>
          <t>Pennington</t>
        </is>
      </c>
      <c r="B58">
        <f>Inputs_State!$B$1</f>
        <v/>
      </c>
      <c r="C58">
        <f>SUMIFS(tblArrivals[Points],tblArrivals[County],A58)</f>
        <v/>
      </c>
      <c r="D58">
        <f>SUMIFS(tblComplexity[Cases_Current],tblComplexity[County],A58)</f>
        <v/>
      </c>
      <c r="E58">
        <f>SUMIFS(tblComplexity[Weight_Current],tblComplexity[County],A58)</f>
        <v/>
      </c>
      <c r="F58">
        <f>IF(D58&gt;0,E58/D58,0)</f>
        <v/>
      </c>
      <c r="G58">
        <f>SUMIFS(tblComplexity[Cases_Baseline],tblComplexity[County],A58)</f>
        <v/>
      </c>
      <c r="H58">
        <f>SUMIFS(tblComplexity[Weight_Baseline],tblComplexity[County],A58)</f>
        <v/>
      </c>
      <c r="I58">
        <f>IF(G58&gt;0,H58/G58,0)</f>
        <v/>
      </c>
      <c r="J58">
        <f>IF(I58&gt;0,F58/I58,1)</f>
        <v/>
      </c>
      <c r="K58">
        <f>IFERROR(VLOOKUP(A58,tblBaseline,6,FALSE)/VLOOKUP(A58,tblBaseline,7,FALSE),0)</f>
        <v/>
      </c>
      <c r="L58">
        <f>IF(J58&gt;0,K58/J58,0)</f>
        <v/>
      </c>
      <c r="M58">
        <f>IFERROR(VLOOKUP(A58,tblBaseline,3,FALSE),0)</f>
        <v/>
      </c>
      <c r="N58">
        <f>M58*L58</f>
        <v/>
      </c>
      <c r="O58">
        <f>IF(N58&gt;0,C58/N58,0)</f>
        <v/>
      </c>
      <c r="P58">
        <f>IFERROR(VLOOKUP(A58,tblBaseline,5,FALSE),0)</f>
        <v/>
      </c>
      <c r="Q58">
        <f>P58+C58-N58</f>
        <v/>
      </c>
      <c r="R58">
        <f>IFERROR(VLOOKUP(A58,tblBaseline,4,FALSE),Inputs_State!$B$5)</f>
        <v/>
      </c>
      <c r="S58">
        <f>IF(L58&gt;0,C58/L58,0)+R58</f>
        <v/>
      </c>
      <c r="T58">
        <f>S58-M58</f>
        <v/>
      </c>
      <c r="U58">
        <f>IF(O58&gt;=Inputs_State!$B$4,"RED",IF(O58&gt;=Inputs_State!$B$3,"AMBER","GREEN"))</f>
        <v/>
      </c>
    </row>
    <row r="59">
      <c r="A59" t="inlineStr">
        <is>
          <t>Pine</t>
        </is>
      </c>
      <c r="B59">
        <f>Inputs_State!$B$1</f>
        <v/>
      </c>
      <c r="C59">
        <f>SUMIFS(tblArrivals[Points],tblArrivals[County],A59)</f>
        <v/>
      </c>
      <c r="D59">
        <f>SUMIFS(tblComplexity[Cases_Current],tblComplexity[County],A59)</f>
        <v/>
      </c>
      <c r="E59">
        <f>SUMIFS(tblComplexity[Weight_Current],tblComplexity[County],A59)</f>
        <v/>
      </c>
      <c r="F59">
        <f>IF(D59&gt;0,E59/D59,0)</f>
        <v/>
      </c>
      <c r="G59">
        <f>SUMIFS(tblComplexity[Cases_Baseline],tblComplexity[County],A59)</f>
        <v/>
      </c>
      <c r="H59">
        <f>SUMIFS(tblComplexity[Weight_Baseline],tblComplexity[County],A59)</f>
        <v/>
      </c>
      <c r="I59">
        <f>IF(G59&gt;0,H59/G59,0)</f>
        <v/>
      </c>
      <c r="J59">
        <f>IF(I59&gt;0,F59/I59,1)</f>
        <v/>
      </c>
      <c r="K59">
        <f>IFERROR(VLOOKUP(A59,tblBaseline,6,FALSE)/VLOOKUP(A59,tblBaseline,7,FALSE),0)</f>
        <v/>
      </c>
      <c r="L59">
        <f>IF(J59&gt;0,K59/J59,0)</f>
        <v/>
      </c>
      <c r="M59">
        <f>IFERROR(VLOOKUP(A59,tblBaseline,3,FALSE),0)</f>
        <v/>
      </c>
      <c r="N59">
        <f>M59*L59</f>
        <v/>
      </c>
      <c r="O59">
        <f>IF(N59&gt;0,C59/N59,0)</f>
        <v/>
      </c>
      <c r="P59">
        <f>IFERROR(VLOOKUP(A59,tblBaseline,5,FALSE),0)</f>
        <v/>
      </c>
      <c r="Q59">
        <f>P59+C59-N59</f>
        <v/>
      </c>
      <c r="R59">
        <f>IFERROR(VLOOKUP(A59,tblBaseline,4,FALSE),Inputs_State!$B$5)</f>
        <v/>
      </c>
      <c r="S59">
        <f>IF(L59&gt;0,C59/L59,0)+R59</f>
        <v/>
      </c>
      <c r="T59">
        <f>S59-M59</f>
        <v/>
      </c>
      <c r="U59">
        <f>IF(O59&gt;=Inputs_State!$B$4,"RED",IF(O59&gt;=Inputs_State!$B$3,"AMBER","GREEN"))</f>
        <v/>
      </c>
    </row>
    <row r="60">
      <c r="A60" t="inlineStr">
        <is>
          <t>Pipestone</t>
        </is>
      </c>
      <c r="B60">
        <f>Inputs_State!$B$1</f>
        <v/>
      </c>
      <c r="C60">
        <f>SUMIFS(tblArrivals[Points],tblArrivals[County],A60)</f>
        <v/>
      </c>
      <c r="D60">
        <f>SUMIFS(tblComplexity[Cases_Current],tblComplexity[County],A60)</f>
        <v/>
      </c>
      <c r="E60">
        <f>SUMIFS(tblComplexity[Weight_Current],tblComplexity[County],A60)</f>
        <v/>
      </c>
      <c r="F60">
        <f>IF(D60&gt;0,E60/D60,0)</f>
        <v/>
      </c>
      <c r="G60">
        <f>SUMIFS(tblComplexity[Cases_Baseline],tblComplexity[County],A60)</f>
        <v/>
      </c>
      <c r="H60">
        <f>SUMIFS(tblComplexity[Weight_Baseline],tblComplexity[County],A60)</f>
        <v/>
      </c>
      <c r="I60">
        <f>IF(G60&gt;0,H60/G60,0)</f>
        <v/>
      </c>
      <c r="J60">
        <f>IF(I60&gt;0,F60/I60,1)</f>
        <v/>
      </c>
      <c r="K60">
        <f>IFERROR(VLOOKUP(A60,tblBaseline,6,FALSE)/VLOOKUP(A60,tblBaseline,7,FALSE),0)</f>
        <v/>
      </c>
      <c r="L60">
        <f>IF(J60&gt;0,K60/J60,0)</f>
        <v/>
      </c>
      <c r="M60">
        <f>IFERROR(VLOOKUP(A60,tblBaseline,3,FALSE),0)</f>
        <v/>
      </c>
      <c r="N60">
        <f>M60*L60</f>
        <v/>
      </c>
      <c r="O60">
        <f>IF(N60&gt;0,C60/N60,0)</f>
        <v/>
      </c>
      <c r="P60">
        <f>IFERROR(VLOOKUP(A60,tblBaseline,5,FALSE),0)</f>
        <v/>
      </c>
      <c r="Q60">
        <f>P60+C60-N60</f>
        <v/>
      </c>
      <c r="R60">
        <f>IFERROR(VLOOKUP(A60,tblBaseline,4,FALSE),Inputs_State!$B$5)</f>
        <v/>
      </c>
      <c r="S60">
        <f>IF(L60&gt;0,C60/L60,0)+R60</f>
        <v/>
      </c>
      <c r="T60">
        <f>S60-M60</f>
        <v/>
      </c>
      <c r="U60">
        <f>IF(O60&gt;=Inputs_State!$B$4,"RED",IF(O60&gt;=Inputs_State!$B$3,"AMBER","GREEN"))</f>
        <v/>
      </c>
    </row>
    <row r="61">
      <c r="A61" t="inlineStr">
        <is>
          <t>Polk</t>
        </is>
      </c>
      <c r="B61">
        <f>Inputs_State!$B$1</f>
        <v/>
      </c>
      <c r="C61">
        <f>SUMIFS(tblArrivals[Points],tblArrivals[County],A61)</f>
        <v/>
      </c>
      <c r="D61">
        <f>SUMIFS(tblComplexity[Cases_Current],tblComplexity[County],A61)</f>
        <v/>
      </c>
      <c r="E61">
        <f>SUMIFS(tblComplexity[Weight_Current],tblComplexity[County],A61)</f>
        <v/>
      </c>
      <c r="F61">
        <f>IF(D61&gt;0,E61/D61,0)</f>
        <v/>
      </c>
      <c r="G61">
        <f>SUMIFS(tblComplexity[Cases_Baseline],tblComplexity[County],A61)</f>
        <v/>
      </c>
      <c r="H61">
        <f>SUMIFS(tblComplexity[Weight_Baseline],tblComplexity[County],A61)</f>
        <v/>
      </c>
      <c r="I61">
        <f>IF(G61&gt;0,H61/G61,0)</f>
        <v/>
      </c>
      <c r="J61">
        <f>IF(I61&gt;0,F61/I61,1)</f>
        <v/>
      </c>
      <c r="K61">
        <f>IFERROR(VLOOKUP(A61,tblBaseline,6,FALSE)/VLOOKUP(A61,tblBaseline,7,FALSE),0)</f>
        <v/>
      </c>
      <c r="L61">
        <f>IF(J61&gt;0,K61/J61,0)</f>
        <v/>
      </c>
      <c r="M61">
        <f>IFERROR(VLOOKUP(A61,tblBaseline,3,FALSE),0)</f>
        <v/>
      </c>
      <c r="N61">
        <f>M61*L61</f>
        <v/>
      </c>
      <c r="O61">
        <f>IF(N61&gt;0,C61/N61,0)</f>
        <v/>
      </c>
      <c r="P61">
        <f>IFERROR(VLOOKUP(A61,tblBaseline,5,FALSE),0)</f>
        <v/>
      </c>
      <c r="Q61">
        <f>P61+C61-N61</f>
        <v/>
      </c>
      <c r="R61">
        <f>IFERROR(VLOOKUP(A61,tblBaseline,4,FALSE),Inputs_State!$B$5)</f>
        <v/>
      </c>
      <c r="S61">
        <f>IF(L61&gt;0,C61/L61,0)+R61</f>
        <v/>
      </c>
      <c r="T61">
        <f>S61-M61</f>
        <v/>
      </c>
      <c r="U61">
        <f>IF(O61&gt;=Inputs_State!$B$4,"RED",IF(O61&gt;=Inputs_State!$B$3,"AMBER","GREEN"))</f>
        <v/>
      </c>
    </row>
    <row r="62">
      <c r="A62" t="inlineStr">
        <is>
          <t>Pope</t>
        </is>
      </c>
      <c r="B62">
        <f>Inputs_State!$B$1</f>
        <v/>
      </c>
      <c r="C62">
        <f>SUMIFS(tblArrivals[Points],tblArrivals[County],A62)</f>
        <v/>
      </c>
      <c r="D62">
        <f>SUMIFS(tblComplexity[Cases_Current],tblComplexity[County],A62)</f>
        <v/>
      </c>
      <c r="E62">
        <f>SUMIFS(tblComplexity[Weight_Current],tblComplexity[County],A62)</f>
        <v/>
      </c>
      <c r="F62">
        <f>IF(D62&gt;0,E62/D62,0)</f>
        <v/>
      </c>
      <c r="G62">
        <f>SUMIFS(tblComplexity[Cases_Baseline],tblComplexity[County],A62)</f>
        <v/>
      </c>
      <c r="H62">
        <f>SUMIFS(tblComplexity[Weight_Baseline],tblComplexity[County],A62)</f>
        <v/>
      </c>
      <c r="I62">
        <f>IF(G62&gt;0,H62/G62,0)</f>
        <v/>
      </c>
      <c r="J62">
        <f>IF(I62&gt;0,F62/I62,1)</f>
        <v/>
      </c>
      <c r="K62">
        <f>IFERROR(VLOOKUP(A62,tblBaseline,6,FALSE)/VLOOKUP(A62,tblBaseline,7,FALSE),0)</f>
        <v/>
      </c>
      <c r="L62">
        <f>IF(J62&gt;0,K62/J62,0)</f>
        <v/>
      </c>
      <c r="M62">
        <f>IFERROR(VLOOKUP(A62,tblBaseline,3,FALSE),0)</f>
        <v/>
      </c>
      <c r="N62">
        <f>M62*L62</f>
        <v/>
      </c>
      <c r="O62">
        <f>IF(N62&gt;0,C62/N62,0)</f>
        <v/>
      </c>
      <c r="P62">
        <f>IFERROR(VLOOKUP(A62,tblBaseline,5,FALSE),0)</f>
        <v/>
      </c>
      <c r="Q62">
        <f>P62+C62-N62</f>
        <v/>
      </c>
      <c r="R62">
        <f>IFERROR(VLOOKUP(A62,tblBaseline,4,FALSE),Inputs_State!$B$5)</f>
        <v/>
      </c>
      <c r="S62">
        <f>IF(L62&gt;0,C62/L62,0)+R62</f>
        <v/>
      </c>
      <c r="T62">
        <f>S62-M62</f>
        <v/>
      </c>
      <c r="U62">
        <f>IF(O62&gt;=Inputs_State!$B$4,"RED",IF(O62&gt;=Inputs_State!$B$3,"AMBER","GREEN"))</f>
        <v/>
      </c>
    </row>
    <row r="63">
      <c r="A63" t="inlineStr">
        <is>
          <t>Ramsey</t>
        </is>
      </c>
      <c r="B63">
        <f>Inputs_State!$B$1</f>
        <v/>
      </c>
      <c r="C63">
        <f>SUMIFS(tblArrivals[Points],tblArrivals[County],A63)</f>
        <v/>
      </c>
      <c r="D63">
        <f>SUMIFS(tblComplexity[Cases_Current],tblComplexity[County],A63)</f>
        <v/>
      </c>
      <c r="E63">
        <f>SUMIFS(tblComplexity[Weight_Current],tblComplexity[County],A63)</f>
        <v/>
      </c>
      <c r="F63">
        <f>IF(D63&gt;0,E63/D63,0)</f>
        <v/>
      </c>
      <c r="G63">
        <f>SUMIFS(tblComplexity[Cases_Baseline],tblComplexity[County],A63)</f>
        <v/>
      </c>
      <c r="H63">
        <f>SUMIFS(tblComplexity[Weight_Baseline],tblComplexity[County],A63)</f>
        <v/>
      </c>
      <c r="I63">
        <f>IF(G63&gt;0,H63/G63,0)</f>
        <v/>
      </c>
      <c r="J63">
        <f>IF(I63&gt;0,F63/I63,1)</f>
        <v/>
      </c>
      <c r="K63">
        <f>IFERROR(VLOOKUP(A63,tblBaseline,6,FALSE)/VLOOKUP(A63,tblBaseline,7,FALSE),0)</f>
        <v/>
      </c>
      <c r="L63">
        <f>IF(J63&gt;0,K63/J63,0)</f>
        <v/>
      </c>
      <c r="M63">
        <f>IFERROR(VLOOKUP(A63,tblBaseline,3,FALSE),0)</f>
        <v/>
      </c>
      <c r="N63">
        <f>M63*L63</f>
        <v/>
      </c>
      <c r="O63">
        <f>IF(N63&gt;0,C63/N63,0)</f>
        <v/>
      </c>
      <c r="P63">
        <f>IFERROR(VLOOKUP(A63,tblBaseline,5,FALSE),0)</f>
        <v/>
      </c>
      <c r="Q63">
        <f>P63+C63-N63</f>
        <v/>
      </c>
      <c r="R63">
        <f>IFERROR(VLOOKUP(A63,tblBaseline,4,FALSE),Inputs_State!$B$5)</f>
        <v/>
      </c>
      <c r="S63">
        <f>IF(L63&gt;0,C63/L63,0)+R63</f>
        <v/>
      </c>
      <c r="T63">
        <f>S63-M63</f>
        <v/>
      </c>
      <c r="U63">
        <f>IF(O63&gt;=Inputs_State!$B$4,"RED",IF(O63&gt;=Inputs_State!$B$3,"AMBER","GREEN"))</f>
        <v/>
      </c>
    </row>
    <row r="64">
      <c r="A64" t="inlineStr">
        <is>
          <t>Red Lake</t>
        </is>
      </c>
      <c r="B64">
        <f>Inputs_State!$B$1</f>
        <v/>
      </c>
      <c r="C64">
        <f>SUMIFS(tblArrivals[Points],tblArrivals[County],A64)</f>
        <v/>
      </c>
      <c r="D64">
        <f>SUMIFS(tblComplexity[Cases_Current],tblComplexity[County],A64)</f>
        <v/>
      </c>
      <c r="E64">
        <f>SUMIFS(tblComplexity[Weight_Current],tblComplexity[County],A64)</f>
        <v/>
      </c>
      <c r="F64">
        <f>IF(D64&gt;0,E64/D64,0)</f>
        <v/>
      </c>
      <c r="G64">
        <f>SUMIFS(tblComplexity[Cases_Baseline],tblComplexity[County],A64)</f>
        <v/>
      </c>
      <c r="H64">
        <f>SUMIFS(tblComplexity[Weight_Baseline],tblComplexity[County],A64)</f>
        <v/>
      </c>
      <c r="I64">
        <f>IF(G64&gt;0,H64/G64,0)</f>
        <v/>
      </c>
      <c r="J64">
        <f>IF(I64&gt;0,F64/I64,1)</f>
        <v/>
      </c>
      <c r="K64">
        <f>IFERROR(VLOOKUP(A64,tblBaseline,6,FALSE)/VLOOKUP(A64,tblBaseline,7,FALSE),0)</f>
        <v/>
      </c>
      <c r="L64">
        <f>IF(J64&gt;0,K64/J64,0)</f>
        <v/>
      </c>
      <c r="M64">
        <f>IFERROR(VLOOKUP(A64,tblBaseline,3,FALSE),0)</f>
        <v/>
      </c>
      <c r="N64">
        <f>M64*L64</f>
        <v/>
      </c>
      <c r="O64">
        <f>IF(N64&gt;0,C64/N64,0)</f>
        <v/>
      </c>
      <c r="P64">
        <f>IFERROR(VLOOKUP(A64,tblBaseline,5,FALSE),0)</f>
        <v/>
      </c>
      <c r="Q64">
        <f>P64+C64-N64</f>
        <v/>
      </c>
      <c r="R64">
        <f>IFERROR(VLOOKUP(A64,tblBaseline,4,FALSE),Inputs_State!$B$5)</f>
        <v/>
      </c>
      <c r="S64">
        <f>IF(L64&gt;0,C64/L64,0)+R64</f>
        <v/>
      </c>
      <c r="T64">
        <f>S64-M64</f>
        <v/>
      </c>
      <c r="U64">
        <f>IF(O64&gt;=Inputs_State!$B$4,"RED",IF(O64&gt;=Inputs_State!$B$3,"AMBER","GREEN"))</f>
        <v/>
      </c>
    </row>
    <row r="65">
      <c r="A65" t="inlineStr">
        <is>
          <t>Redwood</t>
        </is>
      </c>
      <c r="B65">
        <f>Inputs_State!$B$1</f>
        <v/>
      </c>
      <c r="C65">
        <f>SUMIFS(tblArrivals[Points],tblArrivals[County],A65)</f>
        <v/>
      </c>
      <c r="D65">
        <f>SUMIFS(tblComplexity[Cases_Current],tblComplexity[County],A65)</f>
        <v/>
      </c>
      <c r="E65">
        <f>SUMIFS(tblComplexity[Weight_Current],tblComplexity[County],A65)</f>
        <v/>
      </c>
      <c r="F65">
        <f>IF(D65&gt;0,E65/D65,0)</f>
        <v/>
      </c>
      <c r="G65">
        <f>SUMIFS(tblComplexity[Cases_Baseline],tblComplexity[County],A65)</f>
        <v/>
      </c>
      <c r="H65">
        <f>SUMIFS(tblComplexity[Weight_Baseline],tblComplexity[County],A65)</f>
        <v/>
      </c>
      <c r="I65">
        <f>IF(G65&gt;0,H65/G65,0)</f>
        <v/>
      </c>
      <c r="J65">
        <f>IF(I65&gt;0,F65/I65,1)</f>
        <v/>
      </c>
      <c r="K65">
        <f>IFERROR(VLOOKUP(A65,tblBaseline,6,FALSE)/VLOOKUP(A65,tblBaseline,7,FALSE),0)</f>
        <v/>
      </c>
      <c r="L65">
        <f>IF(J65&gt;0,K65/J65,0)</f>
        <v/>
      </c>
      <c r="M65">
        <f>IFERROR(VLOOKUP(A65,tblBaseline,3,FALSE),0)</f>
        <v/>
      </c>
      <c r="N65">
        <f>M65*L65</f>
        <v/>
      </c>
      <c r="O65">
        <f>IF(N65&gt;0,C65/N65,0)</f>
        <v/>
      </c>
      <c r="P65">
        <f>IFERROR(VLOOKUP(A65,tblBaseline,5,FALSE),0)</f>
        <v/>
      </c>
      <c r="Q65">
        <f>P65+C65-N65</f>
        <v/>
      </c>
      <c r="R65">
        <f>IFERROR(VLOOKUP(A65,tblBaseline,4,FALSE),Inputs_State!$B$5)</f>
        <v/>
      </c>
      <c r="S65">
        <f>IF(L65&gt;0,C65/L65,0)+R65</f>
        <v/>
      </c>
      <c r="T65">
        <f>S65-M65</f>
        <v/>
      </c>
      <c r="U65">
        <f>IF(O65&gt;=Inputs_State!$B$4,"RED",IF(O65&gt;=Inputs_State!$B$3,"AMBER","GREEN"))</f>
        <v/>
      </c>
    </row>
    <row r="66">
      <c r="A66" t="inlineStr">
        <is>
          <t>Renville</t>
        </is>
      </c>
      <c r="B66">
        <f>Inputs_State!$B$1</f>
        <v/>
      </c>
      <c r="C66">
        <f>SUMIFS(tblArrivals[Points],tblArrivals[County],A66)</f>
        <v/>
      </c>
      <c r="D66">
        <f>SUMIFS(tblComplexity[Cases_Current],tblComplexity[County],A66)</f>
        <v/>
      </c>
      <c r="E66">
        <f>SUMIFS(tblComplexity[Weight_Current],tblComplexity[County],A66)</f>
        <v/>
      </c>
      <c r="F66">
        <f>IF(D66&gt;0,E66/D66,0)</f>
        <v/>
      </c>
      <c r="G66">
        <f>SUMIFS(tblComplexity[Cases_Baseline],tblComplexity[County],A66)</f>
        <v/>
      </c>
      <c r="H66">
        <f>SUMIFS(tblComplexity[Weight_Baseline],tblComplexity[County],A66)</f>
        <v/>
      </c>
      <c r="I66">
        <f>IF(G66&gt;0,H66/G66,0)</f>
        <v/>
      </c>
      <c r="J66">
        <f>IF(I66&gt;0,F66/I66,1)</f>
        <v/>
      </c>
      <c r="K66">
        <f>IFERROR(VLOOKUP(A66,tblBaseline,6,FALSE)/VLOOKUP(A66,tblBaseline,7,FALSE),0)</f>
        <v/>
      </c>
      <c r="L66">
        <f>IF(J66&gt;0,K66/J66,0)</f>
        <v/>
      </c>
      <c r="M66">
        <f>IFERROR(VLOOKUP(A66,tblBaseline,3,FALSE),0)</f>
        <v/>
      </c>
      <c r="N66">
        <f>M66*L66</f>
        <v/>
      </c>
      <c r="O66">
        <f>IF(N66&gt;0,C66/N66,0)</f>
        <v/>
      </c>
      <c r="P66">
        <f>IFERROR(VLOOKUP(A66,tblBaseline,5,FALSE),0)</f>
        <v/>
      </c>
      <c r="Q66">
        <f>P66+C66-N66</f>
        <v/>
      </c>
      <c r="R66">
        <f>IFERROR(VLOOKUP(A66,tblBaseline,4,FALSE),Inputs_State!$B$5)</f>
        <v/>
      </c>
      <c r="S66">
        <f>IF(L66&gt;0,C66/L66,0)+R66</f>
        <v/>
      </c>
      <c r="T66">
        <f>S66-M66</f>
        <v/>
      </c>
      <c r="U66">
        <f>IF(O66&gt;=Inputs_State!$B$4,"RED",IF(O66&gt;=Inputs_State!$B$3,"AMBER","GREEN"))</f>
        <v/>
      </c>
    </row>
    <row r="67">
      <c r="A67" t="inlineStr">
        <is>
          <t>Rice</t>
        </is>
      </c>
      <c r="B67">
        <f>Inputs_State!$B$1</f>
        <v/>
      </c>
      <c r="C67">
        <f>SUMIFS(tblArrivals[Points],tblArrivals[County],A67)</f>
        <v/>
      </c>
      <c r="D67">
        <f>SUMIFS(tblComplexity[Cases_Current],tblComplexity[County],A67)</f>
        <v/>
      </c>
      <c r="E67">
        <f>SUMIFS(tblComplexity[Weight_Current],tblComplexity[County],A67)</f>
        <v/>
      </c>
      <c r="F67">
        <f>IF(D67&gt;0,E67/D67,0)</f>
        <v/>
      </c>
      <c r="G67">
        <f>SUMIFS(tblComplexity[Cases_Baseline],tblComplexity[County],A67)</f>
        <v/>
      </c>
      <c r="H67">
        <f>SUMIFS(tblComplexity[Weight_Baseline],tblComplexity[County],A67)</f>
        <v/>
      </c>
      <c r="I67">
        <f>IF(G67&gt;0,H67/G67,0)</f>
        <v/>
      </c>
      <c r="J67">
        <f>IF(I67&gt;0,F67/I67,1)</f>
        <v/>
      </c>
      <c r="K67">
        <f>IFERROR(VLOOKUP(A67,tblBaseline,6,FALSE)/VLOOKUP(A67,tblBaseline,7,FALSE),0)</f>
        <v/>
      </c>
      <c r="L67">
        <f>IF(J67&gt;0,K67/J67,0)</f>
        <v/>
      </c>
      <c r="M67">
        <f>IFERROR(VLOOKUP(A67,tblBaseline,3,FALSE),0)</f>
        <v/>
      </c>
      <c r="N67">
        <f>M67*L67</f>
        <v/>
      </c>
      <c r="O67">
        <f>IF(N67&gt;0,C67/N67,0)</f>
        <v/>
      </c>
      <c r="P67">
        <f>IFERROR(VLOOKUP(A67,tblBaseline,5,FALSE),0)</f>
        <v/>
      </c>
      <c r="Q67">
        <f>P67+C67-N67</f>
        <v/>
      </c>
      <c r="R67">
        <f>IFERROR(VLOOKUP(A67,tblBaseline,4,FALSE),Inputs_State!$B$5)</f>
        <v/>
      </c>
      <c r="S67">
        <f>IF(L67&gt;0,C67/L67,0)+R67</f>
        <v/>
      </c>
      <c r="T67">
        <f>S67-M67</f>
        <v/>
      </c>
      <c r="U67">
        <f>IF(O67&gt;=Inputs_State!$B$4,"RED",IF(O67&gt;=Inputs_State!$B$3,"AMBER","GREEN"))</f>
        <v/>
      </c>
    </row>
    <row r="68">
      <c r="A68" t="inlineStr">
        <is>
          <t>Rock</t>
        </is>
      </c>
      <c r="B68">
        <f>Inputs_State!$B$1</f>
        <v/>
      </c>
      <c r="C68">
        <f>SUMIFS(tblArrivals[Points],tblArrivals[County],A68)</f>
        <v/>
      </c>
      <c r="D68">
        <f>SUMIFS(tblComplexity[Cases_Current],tblComplexity[County],A68)</f>
        <v/>
      </c>
      <c r="E68">
        <f>SUMIFS(tblComplexity[Weight_Current],tblComplexity[County],A68)</f>
        <v/>
      </c>
      <c r="F68">
        <f>IF(D68&gt;0,E68/D68,0)</f>
        <v/>
      </c>
      <c r="G68">
        <f>SUMIFS(tblComplexity[Cases_Baseline],tblComplexity[County],A68)</f>
        <v/>
      </c>
      <c r="H68">
        <f>SUMIFS(tblComplexity[Weight_Baseline],tblComplexity[County],A68)</f>
        <v/>
      </c>
      <c r="I68">
        <f>IF(G68&gt;0,H68/G68,0)</f>
        <v/>
      </c>
      <c r="J68">
        <f>IF(I68&gt;0,F68/I68,1)</f>
        <v/>
      </c>
      <c r="K68">
        <f>IFERROR(VLOOKUP(A68,tblBaseline,6,FALSE)/VLOOKUP(A68,tblBaseline,7,FALSE),0)</f>
        <v/>
      </c>
      <c r="L68">
        <f>IF(J68&gt;0,K68/J68,0)</f>
        <v/>
      </c>
      <c r="M68">
        <f>IFERROR(VLOOKUP(A68,tblBaseline,3,FALSE),0)</f>
        <v/>
      </c>
      <c r="N68">
        <f>M68*L68</f>
        <v/>
      </c>
      <c r="O68">
        <f>IF(N68&gt;0,C68/N68,0)</f>
        <v/>
      </c>
      <c r="P68">
        <f>IFERROR(VLOOKUP(A68,tblBaseline,5,FALSE),0)</f>
        <v/>
      </c>
      <c r="Q68">
        <f>P68+C68-N68</f>
        <v/>
      </c>
      <c r="R68">
        <f>IFERROR(VLOOKUP(A68,tblBaseline,4,FALSE),Inputs_State!$B$5)</f>
        <v/>
      </c>
      <c r="S68">
        <f>IF(L68&gt;0,C68/L68,0)+R68</f>
        <v/>
      </c>
      <c r="T68">
        <f>S68-M68</f>
        <v/>
      </c>
      <c r="U68">
        <f>IF(O68&gt;=Inputs_State!$B$4,"RED",IF(O68&gt;=Inputs_State!$B$3,"AMBER","GREEN"))</f>
        <v/>
      </c>
    </row>
    <row r="69">
      <c r="A69" t="inlineStr">
        <is>
          <t>Roseau</t>
        </is>
      </c>
      <c r="B69">
        <f>Inputs_State!$B$1</f>
        <v/>
      </c>
      <c r="C69">
        <f>SUMIFS(tblArrivals[Points],tblArrivals[County],A69)</f>
        <v/>
      </c>
      <c r="D69">
        <f>SUMIFS(tblComplexity[Cases_Current],tblComplexity[County],A69)</f>
        <v/>
      </c>
      <c r="E69">
        <f>SUMIFS(tblComplexity[Weight_Current],tblComplexity[County],A69)</f>
        <v/>
      </c>
      <c r="F69">
        <f>IF(D69&gt;0,E69/D69,0)</f>
        <v/>
      </c>
      <c r="G69">
        <f>SUMIFS(tblComplexity[Cases_Baseline],tblComplexity[County],A69)</f>
        <v/>
      </c>
      <c r="H69">
        <f>SUMIFS(tblComplexity[Weight_Baseline],tblComplexity[County],A69)</f>
        <v/>
      </c>
      <c r="I69">
        <f>IF(G69&gt;0,H69/G69,0)</f>
        <v/>
      </c>
      <c r="J69">
        <f>IF(I69&gt;0,F69/I69,1)</f>
        <v/>
      </c>
      <c r="K69">
        <f>IFERROR(VLOOKUP(A69,tblBaseline,6,FALSE)/VLOOKUP(A69,tblBaseline,7,FALSE),0)</f>
        <v/>
      </c>
      <c r="L69">
        <f>IF(J69&gt;0,K69/J69,0)</f>
        <v/>
      </c>
      <c r="M69">
        <f>IFERROR(VLOOKUP(A69,tblBaseline,3,FALSE),0)</f>
        <v/>
      </c>
      <c r="N69">
        <f>M69*L69</f>
        <v/>
      </c>
      <c r="O69">
        <f>IF(N69&gt;0,C69/N69,0)</f>
        <v/>
      </c>
      <c r="P69">
        <f>IFERROR(VLOOKUP(A69,tblBaseline,5,FALSE),0)</f>
        <v/>
      </c>
      <c r="Q69">
        <f>P69+C69-N69</f>
        <v/>
      </c>
      <c r="R69">
        <f>IFERROR(VLOOKUP(A69,tblBaseline,4,FALSE),Inputs_State!$B$5)</f>
        <v/>
      </c>
      <c r="S69">
        <f>IF(L69&gt;0,C69/L69,0)+R69</f>
        <v/>
      </c>
      <c r="T69">
        <f>S69-M69</f>
        <v/>
      </c>
      <c r="U69">
        <f>IF(O69&gt;=Inputs_State!$B$4,"RED",IF(O69&gt;=Inputs_State!$B$3,"AMBER","GREEN"))</f>
        <v/>
      </c>
    </row>
    <row r="70">
      <c r="A70" t="inlineStr">
        <is>
          <t>St. Louis</t>
        </is>
      </c>
      <c r="B70">
        <f>Inputs_State!$B$1</f>
        <v/>
      </c>
      <c r="C70">
        <f>SUMIFS(tblArrivals[Points],tblArrivals[County],A70)</f>
        <v/>
      </c>
      <c r="D70">
        <f>SUMIFS(tblComplexity[Cases_Current],tblComplexity[County],A70)</f>
        <v/>
      </c>
      <c r="E70">
        <f>SUMIFS(tblComplexity[Weight_Current],tblComplexity[County],A70)</f>
        <v/>
      </c>
      <c r="F70">
        <f>IF(D70&gt;0,E70/D70,0)</f>
        <v/>
      </c>
      <c r="G70">
        <f>SUMIFS(tblComplexity[Cases_Baseline],tblComplexity[County],A70)</f>
        <v/>
      </c>
      <c r="H70">
        <f>SUMIFS(tblComplexity[Weight_Baseline],tblComplexity[County],A70)</f>
        <v/>
      </c>
      <c r="I70">
        <f>IF(G70&gt;0,H70/G70,0)</f>
        <v/>
      </c>
      <c r="J70">
        <f>IF(I70&gt;0,F70/I70,1)</f>
        <v/>
      </c>
      <c r="K70">
        <f>IFERROR(VLOOKUP(A70,tblBaseline,6,FALSE)/VLOOKUP(A70,tblBaseline,7,FALSE),0)</f>
        <v/>
      </c>
      <c r="L70">
        <f>IF(J70&gt;0,K70/J70,0)</f>
        <v/>
      </c>
      <c r="M70">
        <f>IFERROR(VLOOKUP(A70,tblBaseline,3,FALSE),0)</f>
        <v/>
      </c>
      <c r="N70">
        <f>M70*L70</f>
        <v/>
      </c>
      <c r="O70">
        <f>IF(N70&gt;0,C70/N70,0)</f>
        <v/>
      </c>
      <c r="P70">
        <f>IFERROR(VLOOKUP(A70,tblBaseline,5,FALSE),0)</f>
        <v/>
      </c>
      <c r="Q70">
        <f>P70+C70-N70</f>
        <v/>
      </c>
      <c r="R70">
        <f>IFERROR(VLOOKUP(A70,tblBaseline,4,FALSE),Inputs_State!$B$5)</f>
        <v/>
      </c>
      <c r="S70">
        <f>IF(L70&gt;0,C70/L70,0)+R70</f>
        <v/>
      </c>
      <c r="T70">
        <f>S70-M70</f>
        <v/>
      </c>
      <c r="U70">
        <f>IF(O70&gt;=Inputs_State!$B$4,"RED",IF(O70&gt;=Inputs_State!$B$3,"AMBER","GREEN"))</f>
        <v/>
      </c>
    </row>
    <row r="71">
      <c r="A71" t="inlineStr">
        <is>
          <t>Scott</t>
        </is>
      </c>
      <c r="B71">
        <f>Inputs_State!$B$1</f>
        <v/>
      </c>
      <c r="C71">
        <f>SUMIFS(tblArrivals[Points],tblArrivals[County],A71)</f>
        <v/>
      </c>
      <c r="D71">
        <f>SUMIFS(tblComplexity[Cases_Current],tblComplexity[County],A71)</f>
        <v/>
      </c>
      <c r="E71">
        <f>SUMIFS(tblComplexity[Weight_Current],tblComplexity[County],A71)</f>
        <v/>
      </c>
      <c r="F71">
        <f>IF(D71&gt;0,E71/D71,0)</f>
        <v/>
      </c>
      <c r="G71">
        <f>SUMIFS(tblComplexity[Cases_Baseline],tblComplexity[County],A71)</f>
        <v/>
      </c>
      <c r="H71">
        <f>SUMIFS(tblComplexity[Weight_Baseline],tblComplexity[County],A71)</f>
        <v/>
      </c>
      <c r="I71">
        <f>IF(G71&gt;0,H71/G71,0)</f>
        <v/>
      </c>
      <c r="J71">
        <f>IF(I71&gt;0,F71/I71,1)</f>
        <v/>
      </c>
      <c r="K71">
        <f>IFERROR(VLOOKUP(A71,tblBaseline,6,FALSE)/VLOOKUP(A71,tblBaseline,7,FALSE),0)</f>
        <v/>
      </c>
      <c r="L71">
        <f>IF(J71&gt;0,K71/J71,0)</f>
        <v/>
      </c>
      <c r="M71">
        <f>IFERROR(VLOOKUP(A71,tblBaseline,3,FALSE),0)</f>
        <v/>
      </c>
      <c r="N71">
        <f>M71*L71</f>
        <v/>
      </c>
      <c r="O71">
        <f>IF(N71&gt;0,C71/N71,0)</f>
        <v/>
      </c>
      <c r="P71">
        <f>IFERROR(VLOOKUP(A71,tblBaseline,5,FALSE),0)</f>
        <v/>
      </c>
      <c r="Q71">
        <f>P71+C71-N71</f>
        <v/>
      </c>
      <c r="R71">
        <f>IFERROR(VLOOKUP(A71,tblBaseline,4,FALSE),Inputs_State!$B$5)</f>
        <v/>
      </c>
      <c r="S71">
        <f>IF(L71&gt;0,C71/L71,0)+R71</f>
        <v/>
      </c>
      <c r="T71">
        <f>S71-M71</f>
        <v/>
      </c>
      <c r="U71">
        <f>IF(O71&gt;=Inputs_State!$B$4,"RED",IF(O71&gt;=Inputs_State!$B$3,"AMBER","GREEN"))</f>
        <v/>
      </c>
    </row>
    <row r="72">
      <c r="A72" t="inlineStr">
        <is>
          <t>Sherburne</t>
        </is>
      </c>
      <c r="B72">
        <f>Inputs_State!$B$1</f>
        <v/>
      </c>
      <c r="C72">
        <f>SUMIFS(tblArrivals[Points],tblArrivals[County],A72)</f>
        <v/>
      </c>
      <c r="D72">
        <f>SUMIFS(tblComplexity[Cases_Current],tblComplexity[County],A72)</f>
        <v/>
      </c>
      <c r="E72">
        <f>SUMIFS(tblComplexity[Weight_Current],tblComplexity[County],A72)</f>
        <v/>
      </c>
      <c r="F72">
        <f>IF(D72&gt;0,E72/D72,0)</f>
        <v/>
      </c>
      <c r="G72">
        <f>SUMIFS(tblComplexity[Cases_Baseline],tblComplexity[County],A72)</f>
        <v/>
      </c>
      <c r="H72">
        <f>SUMIFS(tblComplexity[Weight_Baseline],tblComplexity[County],A72)</f>
        <v/>
      </c>
      <c r="I72">
        <f>IF(G72&gt;0,H72/G72,0)</f>
        <v/>
      </c>
      <c r="J72">
        <f>IF(I72&gt;0,F72/I72,1)</f>
        <v/>
      </c>
      <c r="K72">
        <f>IFERROR(VLOOKUP(A72,tblBaseline,6,FALSE)/VLOOKUP(A72,tblBaseline,7,FALSE),0)</f>
        <v/>
      </c>
      <c r="L72">
        <f>IF(J72&gt;0,K72/J72,0)</f>
        <v/>
      </c>
      <c r="M72">
        <f>IFERROR(VLOOKUP(A72,tblBaseline,3,FALSE),0)</f>
        <v/>
      </c>
      <c r="N72">
        <f>M72*L72</f>
        <v/>
      </c>
      <c r="O72">
        <f>IF(N72&gt;0,C72/N72,0)</f>
        <v/>
      </c>
      <c r="P72">
        <f>IFERROR(VLOOKUP(A72,tblBaseline,5,FALSE),0)</f>
        <v/>
      </c>
      <c r="Q72">
        <f>P72+C72-N72</f>
        <v/>
      </c>
      <c r="R72">
        <f>IFERROR(VLOOKUP(A72,tblBaseline,4,FALSE),Inputs_State!$B$5)</f>
        <v/>
      </c>
      <c r="S72">
        <f>IF(L72&gt;0,C72/L72,0)+R72</f>
        <v/>
      </c>
      <c r="T72">
        <f>S72-M72</f>
        <v/>
      </c>
      <c r="U72">
        <f>IF(O72&gt;=Inputs_State!$B$4,"RED",IF(O72&gt;=Inputs_State!$B$3,"AMBER","GREEN"))</f>
        <v/>
      </c>
    </row>
    <row r="73">
      <c r="A73" t="inlineStr">
        <is>
          <t>Sibley</t>
        </is>
      </c>
      <c r="B73">
        <f>Inputs_State!$B$1</f>
        <v/>
      </c>
      <c r="C73">
        <f>SUMIFS(tblArrivals[Points],tblArrivals[County],A73)</f>
        <v/>
      </c>
      <c r="D73">
        <f>SUMIFS(tblComplexity[Cases_Current],tblComplexity[County],A73)</f>
        <v/>
      </c>
      <c r="E73">
        <f>SUMIFS(tblComplexity[Weight_Current],tblComplexity[County],A73)</f>
        <v/>
      </c>
      <c r="F73">
        <f>IF(D73&gt;0,E73/D73,0)</f>
        <v/>
      </c>
      <c r="G73">
        <f>SUMIFS(tblComplexity[Cases_Baseline],tblComplexity[County],A73)</f>
        <v/>
      </c>
      <c r="H73">
        <f>SUMIFS(tblComplexity[Weight_Baseline],tblComplexity[County],A73)</f>
        <v/>
      </c>
      <c r="I73">
        <f>IF(G73&gt;0,H73/G73,0)</f>
        <v/>
      </c>
      <c r="J73">
        <f>IF(I73&gt;0,F73/I73,1)</f>
        <v/>
      </c>
      <c r="K73">
        <f>IFERROR(VLOOKUP(A73,tblBaseline,6,FALSE)/VLOOKUP(A73,tblBaseline,7,FALSE),0)</f>
        <v/>
      </c>
      <c r="L73">
        <f>IF(J73&gt;0,K73/J73,0)</f>
        <v/>
      </c>
      <c r="M73">
        <f>IFERROR(VLOOKUP(A73,tblBaseline,3,FALSE),0)</f>
        <v/>
      </c>
      <c r="N73">
        <f>M73*L73</f>
        <v/>
      </c>
      <c r="O73">
        <f>IF(N73&gt;0,C73/N73,0)</f>
        <v/>
      </c>
      <c r="P73">
        <f>IFERROR(VLOOKUP(A73,tblBaseline,5,FALSE),0)</f>
        <v/>
      </c>
      <c r="Q73">
        <f>P73+C73-N73</f>
        <v/>
      </c>
      <c r="R73">
        <f>IFERROR(VLOOKUP(A73,tblBaseline,4,FALSE),Inputs_State!$B$5)</f>
        <v/>
      </c>
      <c r="S73">
        <f>IF(L73&gt;0,C73/L73,0)+R73</f>
        <v/>
      </c>
      <c r="T73">
        <f>S73-M73</f>
        <v/>
      </c>
      <c r="U73">
        <f>IF(O73&gt;=Inputs_State!$B$4,"RED",IF(O73&gt;=Inputs_State!$B$3,"AMBER","GREEN"))</f>
        <v/>
      </c>
    </row>
    <row r="74">
      <c r="A74" t="inlineStr">
        <is>
          <t>Stearns</t>
        </is>
      </c>
      <c r="B74">
        <f>Inputs_State!$B$1</f>
        <v/>
      </c>
      <c r="C74">
        <f>SUMIFS(tblArrivals[Points],tblArrivals[County],A74)</f>
        <v/>
      </c>
      <c r="D74">
        <f>SUMIFS(tblComplexity[Cases_Current],tblComplexity[County],A74)</f>
        <v/>
      </c>
      <c r="E74">
        <f>SUMIFS(tblComplexity[Weight_Current],tblComplexity[County],A74)</f>
        <v/>
      </c>
      <c r="F74">
        <f>IF(D74&gt;0,E74/D74,0)</f>
        <v/>
      </c>
      <c r="G74">
        <f>SUMIFS(tblComplexity[Cases_Baseline],tblComplexity[County],A74)</f>
        <v/>
      </c>
      <c r="H74">
        <f>SUMIFS(tblComplexity[Weight_Baseline],tblComplexity[County],A74)</f>
        <v/>
      </c>
      <c r="I74">
        <f>IF(G74&gt;0,H74/G74,0)</f>
        <v/>
      </c>
      <c r="J74">
        <f>IF(I74&gt;0,F74/I74,1)</f>
        <v/>
      </c>
      <c r="K74">
        <f>IFERROR(VLOOKUP(A74,tblBaseline,6,FALSE)/VLOOKUP(A74,tblBaseline,7,FALSE),0)</f>
        <v/>
      </c>
      <c r="L74">
        <f>IF(J74&gt;0,K74/J74,0)</f>
        <v/>
      </c>
      <c r="M74">
        <f>IFERROR(VLOOKUP(A74,tblBaseline,3,FALSE),0)</f>
        <v/>
      </c>
      <c r="N74">
        <f>M74*L74</f>
        <v/>
      </c>
      <c r="O74">
        <f>IF(N74&gt;0,C74/N74,0)</f>
        <v/>
      </c>
      <c r="P74">
        <f>IFERROR(VLOOKUP(A74,tblBaseline,5,FALSE),0)</f>
        <v/>
      </c>
      <c r="Q74">
        <f>P74+C74-N74</f>
        <v/>
      </c>
      <c r="R74">
        <f>IFERROR(VLOOKUP(A74,tblBaseline,4,FALSE),Inputs_State!$B$5)</f>
        <v/>
      </c>
      <c r="S74">
        <f>IF(L74&gt;0,C74/L74,0)+R74</f>
        <v/>
      </c>
      <c r="T74">
        <f>S74-M74</f>
        <v/>
      </c>
      <c r="U74">
        <f>IF(O74&gt;=Inputs_State!$B$4,"RED",IF(O74&gt;=Inputs_State!$B$3,"AMBER","GREEN"))</f>
        <v/>
      </c>
    </row>
    <row r="75">
      <c r="A75" t="inlineStr">
        <is>
          <t>Steele</t>
        </is>
      </c>
      <c r="B75">
        <f>Inputs_State!$B$1</f>
        <v/>
      </c>
      <c r="C75">
        <f>SUMIFS(tblArrivals[Points],tblArrivals[County],A75)</f>
        <v/>
      </c>
      <c r="D75">
        <f>SUMIFS(tblComplexity[Cases_Current],tblComplexity[County],A75)</f>
        <v/>
      </c>
      <c r="E75">
        <f>SUMIFS(tblComplexity[Weight_Current],tblComplexity[County],A75)</f>
        <v/>
      </c>
      <c r="F75">
        <f>IF(D75&gt;0,E75/D75,0)</f>
        <v/>
      </c>
      <c r="G75">
        <f>SUMIFS(tblComplexity[Cases_Baseline],tblComplexity[County],A75)</f>
        <v/>
      </c>
      <c r="H75">
        <f>SUMIFS(tblComplexity[Weight_Baseline],tblComplexity[County],A75)</f>
        <v/>
      </c>
      <c r="I75">
        <f>IF(G75&gt;0,H75/G75,0)</f>
        <v/>
      </c>
      <c r="J75">
        <f>IF(I75&gt;0,F75/I75,1)</f>
        <v/>
      </c>
      <c r="K75">
        <f>IFERROR(VLOOKUP(A75,tblBaseline,6,FALSE)/VLOOKUP(A75,tblBaseline,7,FALSE),0)</f>
        <v/>
      </c>
      <c r="L75">
        <f>IF(J75&gt;0,K75/J75,0)</f>
        <v/>
      </c>
      <c r="M75">
        <f>IFERROR(VLOOKUP(A75,tblBaseline,3,FALSE),0)</f>
        <v/>
      </c>
      <c r="N75">
        <f>M75*L75</f>
        <v/>
      </c>
      <c r="O75">
        <f>IF(N75&gt;0,C75/N75,0)</f>
        <v/>
      </c>
      <c r="P75">
        <f>IFERROR(VLOOKUP(A75,tblBaseline,5,FALSE),0)</f>
        <v/>
      </c>
      <c r="Q75">
        <f>P75+C75-N75</f>
        <v/>
      </c>
      <c r="R75">
        <f>IFERROR(VLOOKUP(A75,tblBaseline,4,FALSE),Inputs_State!$B$5)</f>
        <v/>
      </c>
      <c r="S75">
        <f>IF(L75&gt;0,C75/L75,0)+R75</f>
        <v/>
      </c>
      <c r="T75">
        <f>S75-M75</f>
        <v/>
      </c>
      <c r="U75">
        <f>IF(O75&gt;=Inputs_State!$B$4,"RED",IF(O75&gt;=Inputs_State!$B$3,"AMBER","GREEN"))</f>
        <v/>
      </c>
    </row>
    <row r="76">
      <c r="A76" t="inlineStr">
        <is>
          <t>Stevens</t>
        </is>
      </c>
      <c r="B76">
        <f>Inputs_State!$B$1</f>
        <v/>
      </c>
      <c r="C76">
        <f>SUMIFS(tblArrivals[Points],tblArrivals[County],A76)</f>
        <v/>
      </c>
      <c r="D76">
        <f>SUMIFS(tblComplexity[Cases_Current],tblComplexity[County],A76)</f>
        <v/>
      </c>
      <c r="E76">
        <f>SUMIFS(tblComplexity[Weight_Current],tblComplexity[County],A76)</f>
        <v/>
      </c>
      <c r="F76">
        <f>IF(D76&gt;0,E76/D76,0)</f>
        <v/>
      </c>
      <c r="G76">
        <f>SUMIFS(tblComplexity[Cases_Baseline],tblComplexity[County],A76)</f>
        <v/>
      </c>
      <c r="H76">
        <f>SUMIFS(tblComplexity[Weight_Baseline],tblComplexity[County],A76)</f>
        <v/>
      </c>
      <c r="I76">
        <f>IF(G76&gt;0,H76/G76,0)</f>
        <v/>
      </c>
      <c r="J76">
        <f>IF(I76&gt;0,F76/I76,1)</f>
        <v/>
      </c>
      <c r="K76">
        <f>IFERROR(VLOOKUP(A76,tblBaseline,6,FALSE)/VLOOKUP(A76,tblBaseline,7,FALSE),0)</f>
        <v/>
      </c>
      <c r="L76">
        <f>IF(J76&gt;0,K76/J76,0)</f>
        <v/>
      </c>
      <c r="M76">
        <f>IFERROR(VLOOKUP(A76,tblBaseline,3,FALSE),0)</f>
        <v/>
      </c>
      <c r="N76">
        <f>M76*L76</f>
        <v/>
      </c>
      <c r="O76">
        <f>IF(N76&gt;0,C76/N76,0)</f>
        <v/>
      </c>
      <c r="P76">
        <f>IFERROR(VLOOKUP(A76,tblBaseline,5,FALSE),0)</f>
        <v/>
      </c>
      <c r="Q76">
        <f>P76+C76-N76</f>
        <v/>
      </c>
      <c r="R76">
        <f>IFERROR(VLOOKUP(A76,tblBaseline,4,FALSE),Inputs_State!$B$5)</f>
        <v/>
      </c>
      <c r="S76">
        <f>IF(L76&gt;0,C76/L76,0)+R76</f>
        <v/>
      </c>
      <c r="T76">
        <f>S76-M76</f>
        <v/>
      </c>
      <c r="U76">
        <f>IF(O76&gt;=Inputs_State!$B$4,"RED",IF(O76&gt;=Inputs_State!$B$3,"AMBER","GREEN"))</f>
        <v/>
      </c>
    </row>
    <row r="77">
      <c r="A77" t="inlineStr">
        <is>
          <t>Swift</t>
        </is>
      </c>
      <c r="B77">
        <f>Inputs_State!$B$1</f>
        <v/>
      </c>
      <c r="C77">
        <f>SUMIFS(tblArrivals[Points],tblArrivals[County],A77)</f>
        <v/>
      </c>
      <c r="D77">
        <f>SUMIFS(tblComplexity[Cases_Current],tblComplexity[County],A77)</f>
        <v/>
      </c>
      <c r="E77">
        <f>SUMIFS(tblComplexity[Weight_Current],tblComplexity[County],A77)</f>
        <v/>
      </c>
      <c r="F77">
        <f>IF(D77&gt;0,E77/D77,0)</f>
        <v/>
      </c>
      <c r="G77">
        <f>SUMIFS(tblComplexity[Cases_Baseline],tblComplexity[County],A77)</f>
        <v/>
      </c>
      <c r="H77">
        <f>SUMIFS(tblComplexity[Weight_Baseline],tblComplexity[County],A77)</f>
        <v/>
      </c>
      <c r="I77">
        <f>IF(G77&gt;0,H77/G77,0)</f>
        <v/>
      </c>
      <c r="J77">
        <f>IF(I77&gt;0,F77/I77,1)</f>
        <v/>
      </c>
      <c r="K77">
        <f>IFERROR(VLOOKUP(A77,tblBaseline,6,FALSE)/VLOOKUP(A77,tblBaseline,7,FALSE),0)</f>
        <v/>
      </c>
      <c r="L77">
        <f>IF(J77&gt;0,K77/J77,0)</f>
        <v/>
      </c>
      <c r="M77">
        <f>IFERROR(VLOOKUP(A77,tblBaseline,3,FALSE),0)</f>
        <v/>
      </c>
      <c r="N77">
        <f>M77*L77</f>
        <v/>
      </c>
      <c r="O77">
        <f>IF(N77&gt;0,C77/N77,0)</f>
        <v/>
      </c>
      <c r="P77">
        <f>IFERROR(VLOOKUP(A77,tblBaseline,5,FALSE),0)</f>
        <v/>
      </c>
      <c r="Q77">
        <f>P77+C77-N77</f>
        <v/>
      </c>
      <c r="R77">
        <f>IFERROR(VLOOKUP(A77,tblBaseline,4,FALSE),Inputs_State!$B$5)</f>
        <v/>
      </c>
      <c r="S77">
        <f>IF(L77&gt;0,C77/L77,0)+R77</f>
        <v/>
      </c>
      <c r="T77">
        <f>S77-M77</f>
        <v/>
      </c>
      <c r="U77">
        <f>IF(O77&gt;=Inputs_State!$B$4,"RED",IF(O77&gt;=Inputs_State!$B$3,"AMBER","GREEN"))</f>
        <v/>
      </c>
    </row>
    <row r="78">
      <c r="A78" t="inlineStr">
        <is>
          <t>Todd</t>
        </is>
      </c>
      <c r="B78">
        <f>Inputs_State!$B$1</f>
        <v/>
      </c>
      <c r="C78">
        <f>SUMIFS(tblArrivals[Points],tblArrivals[County],A78)</f>
        <v/>
      </c>
      <c r="D78">
        <f>SUMIFS(tblComplexity[Cases_Current],tblComplexity[County],A78)</f>
        <v/>
      </c>
      <c r="E78">
        <f>SUMIFS(tblComplexity[Weight_Current],tblComplexity[County],A78)</f>
        <v/>
      </c>
      <c r="F78">
        <f>IF(D78&gt;0,E78/D78,0)</f>
        <v/>
      </c>
      <c r="G78">
        <f>SUMIFS(tblComplexity[Cases_Baseline],tblComplexity[County],A78)</f>
        <v/>
      </c>
      <c r="H78">
        <f>SUMIFS(tblComplexity[Weight_Baseline],tblComplexity[County],A78)</f>
        <v/>
      </c>
      <c r="I78">
        <f>IF(G78&gt;0,H78/G78,0)</f>
        <v/>
      </c>
      <c r="J78">
        <f>IF(I78&gt;0,F78/I78,1)</f>
        <v/>
      </c>
      <c r="K78">
        <f>IFERROR(VLOOKUP(A78,tblBaseline,6,FALSE)/VLOOKUP(A78,tblBaseline,7,FALSE),0)</f>
        <v/>
      </c>
      <c r="L78">
        <f>IF(J78&gt;0,K78/J78,0)</f>
        <v/>
      </c>
      <c r="M78">
        <f>IFERROR(VLOOKUP(A78,tblBaseline,3,FALSE),0)</f>
        <v/>
      </c>
      <c r="N78">
        <f>M78*L78</f>
        <v/>
      </c>
      <c r="O78">
        <f>IF(N78&gt;0,C78/N78,0)</f>
        <v/>
      </c>
      <c r="P78">
        <f>IFERROR(VLOOKUP(A78,tblBaseline,5,FALSE),0)</f>
        <v/>
      </c>
      <c r="Q78">
        <f>P78+C78-N78</f>
        <v/>
      </c>
      <c r="R78">
        <f>IFERROR(VLOOKUP(A78,tblBaseline,4,FALSE),Inputs_State!$B$5)</f>
        <v/>
      </c>
      <c r="S78">
        <f>IF(L78&gt;0,C78/L78,0)+R78</f>
        <v/>
      </c>
      <c r="T78">
        <f>S78-M78</f>
        <v/>
      </c>
      <c r="U78">
        <f>IF(O78&gt;=Inputs_State!$B$4,"RED",IF(O78&gt;=Inputs_State!$B$3,"AMBER","GREEN"))</f>
        <v/>
      </c>
    </row>
    <row r="79">
      <c r="A79" t="inlineStr">
        <is>
          <t>Traverse</t>
        </is>
      </c>
      <c r="B79">
        <f>Inputs_State!$B$1</f>
        <v/>
      </c>
      <c r="C79">
        <f>SUMIFS(tblArrivals[Points],tblArrivals[County],A79)</f>
        <v/>
      </c>
      <c r="D79">
        <f>SUMIFS(tblComplexity[Cases_Current],tblComplexity[County],A79)</f>
        <v/>
      </c>
      <c r="E79">
        <f>SUMIFS(tblComplexity[Weight_Current],tblComplexity[County],A79)</f>
        <v/>
      </c>
      <c r="F79">
        <f>IF(D79&gt;0,E79/D79,0)</f>
        <v/>
      </c>
      <c r="G79">
        <f>SUMIFS(tblComplexity[Cases_Baseline],tblComplexity[County],A79)</f>
        <v/>
      </c>
      <c r="H79">
        <f>SUMIFS(tblComplexity[Weight_Baseline],tblComplexity[County],A79)</f>
        <v/>
      </c>
      <c r="I79">
        <f>IF(G79&gt;0,H79/G79,0)</f>
        <v/>
      </c>
      <c r="J79">
        <f>IF(I79&gt;0,F79/I79,1)</f>
        <v/>
      </c>
      <c r="K79">
        <f>IFERROR(VLOOKUP(A79,tblBaseline,6,FALSE)/VLOOKUP(A79,tblBaseline,7,FALSE),0)</f>
        <v/>
      </c>
      <c r="L79">
        <f>IF(J79&gt;0,K79/J79,0)</f>
        <v/>
      </c>
      <c r="M79">
        <f>IFERROR(VLOOKUP(A79,tblBaseline,3,FALSE),0)</f>
        <v/>
      </c>
      <c r="N79">
        <f>M79*L79</f>
        <v/>
      </c>
      <c r="O79">
        <f>IF(N79&gt;0,C79/N79,0)</f>
        <v/>
      </c>
      <c r="P79">
        <f>IFERROR(VLOOKUP(A79,tblBaseline,5,FALSE),0)</f>
        <v/>
      </c>
      <c r="Q79">
        <f>P79+C79-N79</f>
        <v/>
      </c>
      <c r="R79">
        <f>IFERROR(VLOOKUP(A79,tblBaseline,4,FALSE),Inputs_State!$B$5)</f>
        <v/>
      </c>
      <c r="S79">
        <f>IF(L79&gt;0,C79/L79,0)+R79</f>
        <v/>
      </c>
      <c r="T79">
        <f>S79-M79</f>
        <v/>
      </c>
      <c r="U79">
        <f>IF(O79&gt;=Inputs_State!$B$4,"RED",IF(O79&gt;=Inputs_State!$B$3,"AMBER","GREEN"))</f>
        <v/>
      </c>
    </row>
    <row r="80">
      <c r="A80" t="inlineStr">
        <is>
          <t>Wabasha</t>
        </is>
      </c>
      <c r="B80">
        <f>Inputs_State!$B$1</f>
        <v/>
      </c>
      <c r="C80">
        <f>SUMIFS(tblArrivals[Points],tblArrivals[County],A80)</f>
        <v/>
      </c>
      <c r="D80">
        <f>SUMIFS(tblComplexity[Cases_Current],tblComplexity[County],A80)</f>
        <v/>
      </c>
      <c r="E80">
        <f>SUMIFS(tblComplexity[Weight_Current],tblComplexity[County],A80)</f>
        <v/>
      </c>
      <c r="F80">
        <f>IF(D80&gt;0,E80/D80,0)</f>
        <v/>
      </c>
      <c r="G80">
        <f>SUMIFS(tblComplexity[Cases_Baseline],tblComplexity[County],A80)</f>
        <v/>
      </c>
      <c r="H80">
        <f>SUMIFS(tblComplexity[Weight_Baseline],tblComplexity[County],A80)</f>
        <v/>
      </c>
      <c r="I80">
        <f>IF(G80&gt;0,H80/G80,0)</f>
        <v/>
      </c>
      <c r="J80">
        <f>IF(I80&gt;0,F80/I80,1)</f>
        <v/>
      </c>
      <c r="K80">
        <f>IFERROR(VLOOKUP(A80,tblBaseline,6,FALSE)/VLOOKUP(A80,tblBaseline,7,FALSE),0)</f>
        <v/>
      </c>
      <c r="L80">
        <f>IF(J80&gt;0,K80/J80,0)</f>
        <v/>
      </c>
      <c r="M80">
        <f>IFERROR(VLOOKUP(A80,tblBaseline,3,FALSE),0)</f>
        <v/>
      </c>
      <c r="N80">
        <f>M80*L80</f>
        <v/>
      </c>
      <c r="O80">
        <f>IF(N80&gt;0,C80/N80,0)</f>
        <v/>
      </c>
      <c r="P80">
        <f>IFERROR(VLOOKUP(A80,tblBaseline,5,FALSE),0)</f>
        <v/>
      </c>
      <c r="Q80">
        <f>P80+C80-N80</f>
        <v/>
      </c>
      <c r="R80">
        <f>IFERROR(VLOOKUP(A80,tblBaseline,4,FALSE),Inputs_State!$B$5)</f>
        <v/>
      </c>
      <c r="S80">
        <f>IF(L80&gt;0,C80/L80,0)+R80</f>
        <v/>
      </c>
      <c r="T80">
        <f>S80-M80</f>
        <v/>
      </c>
      <c r="U80">
        <f>IF(O80&gt;=Inputs_State!$B$4,"RED",IF(O80&gt;=Inputs_State!$B$3,"AMBER","GREEN"))</f>
        <v/>
      </c>
    </row>
    <row r="81">
      <c r="A81" t="inlineStr">
        <is>
          <t>Wadena</t>
        </is>
      </c>
      <c r="B81">
        <f>Inputs_State!$B$1</f>
        <v/>
      </c>
      <c r="C81">
        <f>SUMIFS(tblArrivals[Points],tblArrivals[County],A81)</f>
        <v/>
      </c>
      <c r="D81">
        <f>SUMIFS(tblComplexity[Cases_Current],tblComplexity[County],A81)</f>
        <v/>
      </c>
      <c r="E81">
        <f>SUMIFS(tblComplexity[Weight_Current],tblComplexity[County],A81)</f>
        <v/>
      </c>
      <c r="F81">
        <f>IF(D81&gt;0,E81/D81,0)</f>
        <v/>
      </c>
      <c r="G81">
        <f>SUMIFS(tblComplexity[Cases_Baseline],tblComplexity[County],A81)</f>
        <v/>
      </c>
      <c r="H81">
        <f>SUMIFS(tblComplexity[Weight_Baseline],tblComplexity[County],A81)</f>
        <v/>
      </c>
      <c r="I81">
        <f>IF(G81&gt;0,H81/G81,0)</f>
        <v/>
      </c>
      <c r="J81">
        <f>IF(I81&gt;0,F81/I81,1)</f>
        <v/>
      </c>
      <c r="K81">
        <f>IFERROR(VLOOKUP(A81,tblBaseline,6,FALSE)/VLOOKUP(A81,tblBaseline,7,FALSE),0)</f>
        <v/>
      </c>
      <c r="L81">
        <f>IF(J81&gt;0,K81/J81,0)</f>
        <v/>
      </c>
      <c r="M81">
        <f>IFERROR(VLOOKUP(A81,tblBaseline,3,FALSE),0)</f>
        <v/>
      </c>
      <c r="N81">
        <f>M81*L81</f>
        <v/>
      </c>
      <c r="O81">
        <f>IF(N81&gt;0,C81/N81,0)</f>
        <v/>
      </c>
      <c r="P81">
        <f>IFERROR(VLOOKUP(A81,tblBaseline,5,FALSE),0)</f>
        <v/>
      </c>
      <c r="Q81">
        <f>P81+C81-N81</f>
        <v/>
      </c>
      <c r="R81">
        <f>IFERROR(VLOOKUP(A81,tblBaseline,4,FALSE),Inputs_State!$B$5)</f>
        <v/>
      </c>
      <c r="S81">
        <f>IF(L81&gt;0,C81/L81,0)+R81</f>
        <v/>
      </c>
      <c r="T81">
        <f>S81-M81</f>
        <v/>
      </c>
      <c r="U81">
        <f>IF(O81&gt;=Inputs_State!$B$4,"RED",IF(O81&gt;=Inputs_State!$B$3,"AMBER","GREEN"))</f>
        <v/>
      </c>
    </row>
    <row r="82">
      <c r="A82" t="inlineStr">
        <is>
          <t>Washington</t>
        </is>
      </c>
      <c r="B82">
        <f>Inputs_State!$B$1</f>
        <v/>
      </c>
      <c r="C82">
        <f>SUMIFS(tblArrivals[Points],tblArrivals[County],A82)</f>
        <v/>
      </c>
      <c r="D82">
        <f>SUMIFS(tblComplexity[Cases_Current],tblComplexity[County],A82)</f>
        <v/>
      </c>
      <c r="E82">
        <f>SUMIFS(tblComplexity[Weight_Current],tblComplexity[County],A82)</f>
        <v/>
      </c>
      <c r="F82">
        <f>IF(D82&gt;0,E82/D82,0)</f>
        <v/>
      </c>
      <c r="G82">
        <f>SUMIFS(tblComplexity[Cases_Baseline],tblComplexity[County],A82)</f>
        <v/>
      </c>
      <c r="H82">
        <f>SUMIFS(tblComplexity[Weight_Baseline],tblComplexity[County],A82)</f>
        <v/>
      </c>
      <c r="I82">
        <f>IF(G82&gt;0,H82/G82,0)</f>
        <v/>
      </c>
      <c r="J82">
        <f>IF(I82&gt;0,F82/I82,1)</f>
        <v/>
      </c>
      <c r="K82">
        <f>IFERROR(VLOOKUP(A82,tblBaseline,6,FALSE)/VLOOKUP(A82,tblBaseline,7,FALSE),0)</f>
        <v/>
      </c>
      <c r="L82">
        <f>IF(J82&gt;0,K82/J82,0)</f>
        <v/>
      </c>
      <c r="M82">
        <f>IFERROR(VLOOKUP(A82,tblBaseline,3,FALSE),0)</f>
        <v/>
      </c>
      <c r="N82">
        <f>M82*L82</f>
        <v/>
      </c>
      <c r="O82">
        <f>IF(N82&gt;0,C82/N82,0)</f>
        <v/>
      </c>
      <c r="P82">
        <f>IFERROR(VLOOKUP(A82,tblBaseline,5,FALSE),0)</f>
        <v/>
      </c>
      <c r="Q82">
        <f>P82+C82-N82</f>
        <v/>
      </c>
      <c r="R82">
        <f>IFERROR(VLOOKUP(A82,tblBaseline,4,FALSE),Inputs_State!$B$5)</f>
        <v/>
      </c>
      <c r="S82">
        <f>IF(L82&gt;0,C82/L82,0)+R82</f>
        <v/>
      </c>
      <c r="T82">
        <f>S82-M82</f>
        <v/>
      </c>
      <c r="U82">
        <f>IF(O82&gt;=Inputs_State!$B$4,"RED",IF(O82&gt;=Inputs_State!$B$3,"AMBER","GREEN"))</f>
        <v/>
      </c>
    </row>
    <row r="83">
      <c r="A83" t="inlineStr">
        <is>
          <t>Watonwan</t>
        </is>
      </c>
      <c r="B83">
        <f>Inputs_State!$B$1</f>
        <v/>
      </c>
      <c r="C83">
        <f>SUMIFS(tblArrivals[Points],tblArrivals[County],A83)</f>
        <v/>
      </c>
      <c r="D83">
        <f>SUMIFS(tblComplexity[Cases_Current],tblComplexity[County],A83)</f>
        <v/>
      </c>
      <c r="E83">
        <f>SUMIFS(tblComplexity[Weight_Current],tblComplexity[County],A83)</f>
        <v/>
      </c>
      <c r="F83">
        <f>IF(D83&gt;0,E83/D83,0)</f>
        <v/>
      </c>
      <c r="G83">
        <f>SUMIFS(tblComplexity[Cases_Baseline],tblComplexity[County],A83)</f>
        <v/>
      </c>
      <c r="H83">
        <f>SUMIFS(tblComplexity[Weight_Baseline],tblComplexity[County],A83)</f>
        <v/>
      </c>
      <c r="I83">
        <f>IF(G83&gt;0,H83/G83,0)</f>
        <v/>
      </c>
      <c r="J83">
        <f>IF(I83&gt;0,F83/I83,1)</f>
        <v/>
      </c>
      <c r="K83">
        <f>IFERROR(VLOOKUP(A83,tblBaseline,6,FALSE)/VLOOKUP(A83,tblBaseline,7,FALSE),0)</f>
        <v/>
      </c>
      <c r="L83">
        <f>IF(J83&gt;0,K83/J83,0)</f>
        <v/>
      </c>
      <c r="M83">
        <f>IFERROR(VLOOKUP(A83,tblBaseline,3,FALSE),0)</f>
        <v/>
      </c>
      <c r="N83">
        <f>M83*L83</f>
        <v/>
      </c>
      <c r="O83">
        <f>IF(N83&gt;0,C83/N83,0)</f>
        <v/>
      </c>
      <c r="P83">
        <f>IFERROR(VLOOKUP(A83,tblBaseline,5,FALSE),0)</f>
        <v/>
      </c>
      <c r="Q83">
        <f>P83+C83-N83</f>
        <v/>
      </c>
      <c r="R83">
        <f>IFERROR(VLOOKUP(A83,tblBaseline,4,FALSE),Inputs_State!$B$5)</f>
        <v/>
      </c>
      <c r="S83">
        <f>IF(L83&gt;0,C83/L83,0)+R83</f>
        <v/>
      </c>
      <c r="T83">
        <f>S83-M83</f>
        <v/>
      </c>
      <c r="U83">
        <f>IF(O83&gt;=Inputs_State!$B$4,"RED",IF(O83&gt;=Inputs_State!$B$3,"AMBER","GREEN"))</f>
        <v/>
      </c>
    </row>
    <row r="84">
      <c r="A84" t="inlineStr">
        <is>
          <t>Wilkin</t>
        </is>
      </c>
      <c r="B84">
        <f>Inputs_State!$B$1</f>
        <v/>
      </c>
      <c r="C84">
        <f>SUMIFS(tblArrivals[Points],tblArrivals[County],A84)</f>
        <v/>
      </c>
      <c r="D84">
        <f>SUMIFS(tblComplexity[Cases_Current],tblComplexity[County],A84)</f>
        <v/>
      </c>
      <c r="E84">
        <f>SUMIFS(tblComplexity[Weight_Current],tblComplexity[County],A84)</f>
        <v/>
      </c>
      <c r="F84">
        <f>IF(D84&gt;0,E84/D84,0)</f>
        <v/>
      </c>
      <c r="G84">
        <f>SUMIFS(tblComplexity[Cases_Baseline],tblComplexity[County],A84)</f>
        <v/>
      </c>
      <c r="H84">
        <f>SUMIFS(tblComplexity[Weight_Baseline],tblComplexity[County],A84)</f>
        <v/>
      </c>
      <c r="I84">
        <f>IF(G84&gt;0,H84/G84,0)</f>
        <v/>
      </c>
      <c r="J84">
        <f>IF(I84&gt;0,F84/I84,1)</f>
        <v/>
      </c>
      <c r="K84">
        <f>IFERROR(VLOOKUP(A84,tblBaseline,6,FALSE)/VLOOKUP(A84,tblBaseline,7,FALSE),0)</f>
        <v/>
      </c>
      <c r="L84">
        <f>IF(J84&gt;0,K84/J84,0)</f>
        <v/>
      </c>
      <c r="M84">
        <f>IFERROR(VLOOKUP(A84,tblBaseline,3,FALSE),0)</f>
        <v/>
      </c>
      <c r="N84">
        <f>M84*L84</f>
        <v/>
      </c>
      <c r="O84">
        <f>IF(N84&gt;0,C84/N84,0)</f>
        <v/>
      </c>
      <c r="P84">
        <f>IFERROR(VLOOKUP(A84,tblBaseline,5,FALSE),0)</f>
        <v/>
      </c>
      <c r="Q84">
        <f>P84+C84-N84</f>
        <v/>
      </c>
      <c r="R84">
        <f>IFERROR(VLOOKUP(A84,tblBaseline,4,FALSE),Inputs_State!$B$5)</f>
        <v/>
      </c>
      <c r="S84">
        <f>IF(L84&gt;0,C84/L84,0)+R84</f>
        <v/>
      </c>
      <c r="T84">
        <f>S84-M84</f>
        <v/>
      </c>
      <c r="U84">
        <f>IF(O84&gt;=Inputs_State!$B$4,"RED",IF(O84&gt;=Inputs_State!$B$3,"AMBER","GREEN"))</f>
        <v/>
      </c>
    </row>
    <row r="85">
      <c r="A85" t="inlineStr">
        <is>
          <t>Winona</t>
        </is>
      </c>
      <c r="B85">
        <f>Inputs_State!$B$1</f>
        <v/>
      </c>
      <c r="C85">
        <f>SUMIFS(tblArrivals[Points],tblArrivals[County],A85)</f>
        <v/>
      </c>
      <c r="D85">
        <f>SUMIFS(tblComplexity[Cases_Current],tblComplexity[County],A85)</f>
        <v/>
      </c>
      <c r="E85">
        <f>SUMIFS(tblComplexity[Weight_Current],tblComplexity[County],A85)</f>
        <v/>
      </c>
      <c r="F85">
        <f>IF(D85&gt;0,E85/D85,0)</f>
        <v/>
      </c>
      <c r="G85">
        <f>SUMIFS(tblComplexity[Cases_Baseline],tblComplexity[County],A85)</f>
        <v/>
      </c>
      <c r="H85">
        <f>SUMIFS(tblComplexity[Weight_Baseline],tblComplexity[County],A85)</f>
        <v/>
      </c>
      <c r="I85">
        <f>IF(G85&gt;0,H85/G85,0)</f>
        <v/>
      </c>
      <c r="J85">
        <f>IF(I85&gt;0,F85/I85,1)</f>
        <v/>
      </c>
      <c r="K85">
        <f>IFERROR(VLOOKUP(A85,tblBaseline,6,FALSE)/VLOOKUP(A85,tblBaseline,7,FALSE),0)</f>
        <v/>
      </c>
      <c r="L85">
        <f>IF(J85&gt;0,K85/J85,0)</f>
        <v/>
      </c>
      <c r="M85">
        <f>IFERROR(VLOOKUP(A85,tblBaseline,3,FALSE),0)</f>
        <v/>
      </c>
      <c r="N85">
        <f>M85*L85</f>
        <v/>
      </c>
      <c r="O85">
        <f>IF(N85&gt;0,C85/N85,0)</f>
        <v/>
      </c>
      <c r="P85">
        <f>IFERROR(VLOOKUP(A85,tblBaseline,5,FALSE),0)</f>
        <v/>
      </c>
      <c r="Q85">
        <f>P85+C85-N85</f>
        <v/>
      </c>
      <c r="R85">
        <f>IFERROR(VLOOKUP(A85,tblBaseline,4,FALSE),Inputs_State!$B$5)</f>
        <v/>
      </c>
      <c r="S85">
        <f>IF(L85&gt;0,C85/L85,0)+R85</f>
        <v/>
      </c>
      <c r="T85">
        <f>S85-M85</f>
        <v/>
      </c>
      <c r="U85">
        <f>IF(O85&gt;=Inputs_State!$B$4,"RED",IF(O85&gt;=Inputs_State!$B$3,"AMBER","GREEN"))</f>
        <v/>
      </c>
    </row>
    <row r="86">
      <c r="A86" t="inlineStr">
        <is>
          <t>Wright</t>
        </is>
      </c>
      <c r="B86">
        <f>Inputs_State!$B$1</f>
        <v/>
      </c>
      <c r="C86">
        <f>SUMIFS(tblArrivals[Points],tblArrivals[County],A86)</f>
        <v/>
      </c>
      <c r="D86">
        <f>SUMIFS(tblComplexity[Cases_Current],tblComplexity[County],A86)</f>
        <v/>
      </c>
      <c r="E86">
        <f>SUMIFS(tblComplexity[Weight_Current],tblComplexity[County],A86)</f>
        <v/>
      </c>
      <c r="F86">
        <f>IF(D86&gt;0,E86/D86,0)</f>
        <v/>
      </c>
      <c r="G86">
        <f>SUMIFS(tblComplexity[Cases_Baseline],tblComplexity[County],A86)</f>
        <v/>
      </c>
      <c r="H86">
        <f>SUMIFS(tblComplexity[Weight_Baseline],tblComplexity[County],A86)</f>
        <v/>
      </c>
      <c r="I86">
        <f>IF(G86&gt;0,H86/G86,0)</f>
        <v/>
      </c>
      <c r="J86">
        <f>IF(I86&gt;0,F86/I86,1)</f>
        <v/>
      </c>
      <c r="K86">
        <f>IFERROR(VLOOKUP(A86,tblBaseline,6,FALSE)/VLOOKUP(A86,tblBaseline,7,FALSE),0)</f>
        <v/>
      </c>
      <c r="L86">
        <f>IF(J86&gt;0,K86/J86,0)</f>
        <v/>
      </c>
      <c r="M86">
        <f>IFERROR(VLOOKUP(A86,tblBaseline,3,FALSE),0)</f>
        <v/>
      </c>
      <c r="N86">
        <f>M86*L86</f>
        <v/>
      </c>
      <c r="O86">
        <f>IF(N86&gt;0,C86/N86,0)</f>
        <v/>
      </c>
      <c r="P86">
        <f>IFERROR(VLOOKUP(A86,tblBaseline,5,FALSE),0)</f>
        <v/>
      </c>
      <c r="Q86">
        <f>P86+C86-N86</f>
        <v/>
      </c>
      <c r="R86">
        <f>IFERROR(VLOOKUP(A86,tblBaseline,4,FALSE),Inputs_State!$B$5)</f>
        <v/>
      </c>
      <c r="S86">
        <f>IF(L86&gt;0,C86/L86,0)+R86</f>
        <v/>
      </c>
      <c r="T86">
        <f>S86-M86</f>
        <v/>
      </c>
      <c r="U86">
        <f>IF(O86&gt;=Inputs_State!$B$4,"RED",IF(O86&gt;=Inputs_State!$B$3,"AMBER","GREEN"))</f>
        <v/>
      </c>
    </row>
    <row r="87">
      <c r="A87" t="inlineStr">
        <is>
          <t>Yellow Medicine</t>
        </is>
      </c>
      <c r="B87">
        <f>Inputs_State!$B$1</f>
        <v/>
      </c>
      <c r="C87">
        <f>SUMIFS(tblArrivals[Points],tblArrivals[County],A87)</f>
        <v/>
      </c>
      <c r="D87">
        <f>SUMIFS(tblComplexity[Cases_Current],tblComplexity[County],A87)</f>
        <v/>
      </c>
      <c r="E87">
        <f>SUMIFS(tblComplexity[Weight_Current],tblComplexity[County],A87)</f>
        <v/>
      </c>
      <c r="F87">
        <f>IF(D87&gt;0,E87/D87,0)</f>
        <v/>
      </c>
      <c r="G87">
        <f>SUMIFS(tblComplexity[Cases_Baseline],tblComplexity[County],A87)</f>
        <v/>
      </c>
      <c r="H87">
        <f>SUMIFS(tblComplexity[Weight_Baseline],tblComplexity[County],A87)</f>
        <v/>
      </c>
      <c r="I87">
        <f>IF(G87&gt;0,H87/G87,0)</f>
        <v/>
      </c>
      <c r="J87">
        <f>IF(I87&gt;0,F87/I87,1)</f>
        <v/>
      </c>
      <c r="K87">
        <f>IFERROR(VLOOKUP(A87,tblBaseline,6,FALSE)/VLOOKUP(A87,tblBaseline,7,FALSE),0)</f>
        <v/>
      </c>
      <c r="L87">
        <f>IF(J87&gt;0,K87/J87,0)</f>
        <v/>
      </c>
      <c r="M87">
        <f>IFERROR(VLOOKUP(A87,tblBaseline,3,FALSE),0)</f>
        <v/>
      </c>
      <c r="N87">
        <f>M87*L87</f>
        <v/>
      </c>
      <c r="O87">
        <f>IF(N87&gt;0,C87/N87,0)</f>
        <v/>
      </c>
      <c r="P87">
        <f>IFERROR(VLOOKUP(A87,tblBaseline,5,FALSE),0)</f>
        <v/>
      </c>
      <c r="Q87">
        <f>P87+C87-N87</f>
        <v/>
      </c>
      <c r="R87">
        <f>IFERROR(VLOOKUP(A87,tblBaseline,4,FALSE),Inputs_State!$B$5)</f>
        <v/>
      </c>
      <c r="S87">
        <f>IF(L87&gt;0,C87/L87,0)+R87</f>
        <v/>
      </c>
      <c r="T87">
        <f>S87-M87</f>
        <v/>
      </c>
      <c r="U87">
        <f>IF(O87&gt;=Inputs_State!$B$4,"RED",IF(O87&gt;=Inputs_State!$B$3,"AMBER","GREEN"))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8" customWidth="1" min="3" max="3"/>
    <col width="18" customWidth="1" min="4" max="4"/>
  </cols>
  <sheetData>
    <row r="1">
      <c r="A1" s="5" t="inlineStr">
        <is>
          <t>Minnesota ACASM v1 — Statewide Rollup</t>
        </is>
      </c>
    </row>
    <row r="3">
      <c r="A3" s="3" t="inlineStr">
        <is>
          <t>Period</t>
        </is>
      </c>
      <c r="B3" s="4">
        <f>Inputs_State!$B$1</f>
        <v/>
      </c>
    </row>
    <row r="4">
      <c r="A4" s="3" t="inlineStr">
        <is>
          <t>State Arrival Points (AP_state)</t>
        </is>
      </c>
      <c r="B4" s="4">
        <f>SUM(tblCountyCalc[AP])</f>
        <v/>
      </c>
    </row>
    <row r="5">
      <c r="A5" s="3" t="inlineStr">
        <is>
          <t>State Effective Capacity (Σ FTE_on * P_eff)</t>
        </is>
      </c>
      <c r="B5" s="4">
        <f>SUM(tblCountyCalc[Capacity_eff])</f>
        <v/>
      </c>
    </row>
    <row r="6">
      <c r="A6" s="3" t="inlineStr">
        <is>
          <t>State Utilization (AP_state / Cap_state)</t>
        </is>
      </c>
      <c r="B6" s="4">
        <f>IF(B5&gt;0,B4/B5,0)</f>
        <v/>
      </c>
    </row>
    <row r="7">
      <c r="A7" s="3" t="inlineStr">
        <is>
          <t>State Backlog Start (Σ county)</t>
        </is>
      </c>
      <c r="B7" s="4">
        <f>SUM(tblCountyCalc[Backlog_Start])</f>
        <v/>
      </c>
    </row>
    <row r="8">
      <c r="A8" s="3" t="inlineStr">
        <is>
          <t>State Backlog End (Σ county)</t>
        </is>
      </c>
      <c r="B8" s="4">
        <f>SUM(tblCountyCalc[Backlog_End])</f>
        <v/>
      </c>
    </row>
    <row r="9">
      <c r="A9" s="3" t="inlineStr">
        <is>
          <t>State FTE Required (Σ county)</t>
        </is>
      </c>
      <c r="B9" s="4">
        <f>SUM(tblCountyCalc[FTE_required])</f>
        <v/>
      </c>
    </row>
    <row r="10">
      <c r="A10" s="3" t="inlineStr">
        <is>
          <t>State FTE On (Σ county)</t>
        </is>
      </c>
      <c r="B10" s="4">
        <f>SUM(tblCountyCalc[FTE_on])</f>
        <v/>
      </c>
    </row>
    <row r="11">
      <c r="A11" s="3" t="inlineStr">
        <is>
          <t>State Staffing Gap (Σ county)</t>
        </is>
      </c>
      <c r="B11" s="4">
        <f>SUM(tblCountyCalc[Gap])</f>
        <v/>
      </c>
    </row>
    <row r="12">
      <c r="A12" s="3" t="inlineStr">
        <is>
          <t>State RAG (from Utilization)</t>
        </is>
      </c>
      <c r="B12" s="4">
        <f>IF(B6&gt;=Inputs_State!$B$4,"RED",IF(B6&gt;=Inputs_State!$B$3,"AMBER","GREEN"))</f>
        <v/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" customWidth="1" min="3" max="3"/>
    <col width="26" customWidth="1" min="4" max="4"/>
    <col width="18" customWidth="1" min="5" max="5"/>
    <col width="18" customWidth="1" min="6" max="6"/>
  </cols>
  <sheetData>
    <row r="1">
      <c r="A1" s="5" t="inlineStr">
        <is>
          <t>County Dashboard (ACASM v1)</t>
        </is>
      </c>
    </row>
    <row r="3">
      <c r="A3" s="6" t="inlineStr">
        <is>
          <t>Select County:</t>
        </is>
      </c>
      <c r="B3" t="inlineStr">
        <is>
          <t>Aitkin</t>
        </is>
      </c>
      <c r="D3" s="6" t="inlineStr">
        <is>
          <t>Arrivals by Category (Selected County)</t>
        </is>
      </c>
    </row>
    <row r="5">
      <c r="A5" s="3" t="inlineStr">
        <is>
          <t>Arrival Points (AP)</t>
        </is>
      </c>
      <c r="B5" s="4">
        <f>IFERROR(INDEX(tblCountyCalc[AP],MATCH($B$3,tblCountyCalc[County],0)),"")</f>
        <v/>
      </c>
      <c r="D5" s="7" t="inlineStr">
        <is>
          <t>Category</t>
        </is>
      </c>
      <c r="E5" s="7" t="inlineStr">
        <is>
          <t>Points</t>
        </is>
      </c>
    </row>
    <row r="6">
      <c r="A6" s="3" t="inlineStr">
        <is>
          <t>Complexity Pressure (CPF)</t>
        </is>
      </c>
      <c r="B6" s="4">
        <f>IFERROR(INDEX(tblCountyCalc[CPF],MATCH($B$3,tblCountyCalc[County],0)),"")</f>
        <v/>
      </c>
      <c r="D6" t="inlineStr">
        <is>
          <t>Standard Case Work</t>
        </is>
      </c>
      <c r="E6">
        <f>SUMIFS(tblArrivals[Points],tblArrivals[County],$B$3,tblArrivals[Category],D6)</f>
        <v/>
      </c>
    </row>
    <row r="7">
      <c r="A7" s="3" t="inlineStr">
        <is>
          <t>Effective Productivity (P_eff)</t>
        </is>
      </c>
      <c r="B7" s="4">
        <f>IFERROR(INDEX(tblCountyCalc[P_eff],MATCH($B$3,tblCountyCalc[County],0)),"")</f>
        <v/>
      </c>
      <c r="D7" t="inlineStr">
        <is>
          <t>Full Locate / Long Locate</t>
        </is>
      </c>
      <c r="E7">
        <f>SUMIFS(tblArrivals[Points],tblArrivals[County],$B$3,tblArrivals[Category],D7)</f>
        <v/>
      </c>
    </row>
    <row r="8">
      <c r="A8" s="3" t="inlineStr">
        <is>
          <t>FTE On</t>
        </is>
      </c>
      <c r="B8" s="4">
        <f>IFERROR(INDEX(tblCountyCalc[FTE_on],MATCH($B$3,tblCountyCalc[County],0)),"")</f>
        <v/>
      </c>
      <c r="D8" t="inlineStr">
        <is>
          <t>METS / Interstate Complexity</t>
        </is>
      </c>
      <c r="E8">
        <f>SUMIFS(tblArrivals[Points],tblArrivals[County],$B$3,tblArrivals[Category],D8)</f>
        <v/>
      </c>
    </row>
    <row r="9">
      <c r="A9" s="3" t="inlineStr">
        <is>
          <t>Utilization</t>
        </is>
      </c>
      <c r="B9" s="4">
        <f>IFERROR(INDEX(tblCountyCalc[Utilization],MATCH($B$3,tblCountyCalc[County],0)),"")</f>
        <v/>
      </c>
      <c r="D9" t="inlineStr">
        <is>
          <t>Enforcement / R&amp;M Actions</t>
        </is>
      </c>
      <c r="E9">
        <f>SUMIFS(tblArrivals[Points],tblArrivals[County],$B$3,tblArrivals[Category],D9)</f>
        <v/>
      </c>
    </row>
    <row r="10">
      <c r="A10" s="3" t="inlineStr">
        <is>
          <t>Backlog Start</t>
        </is>
      </c>
      <c r="B10" s="4">
        <f>IFERROR(INDEX(tblCountyCalc[Backlog_Start],MATCH($B$3,tblCountyCalc[County],0)),"")</f>
        <v/>
      </c>
      <c r="D10" t="inlineStr">
        <is>
          <t>Customer Contacts - Telephone</t>
        </is>
      </c>
      <c r="E10">
        <f>SUMIFS(tblArrivals[Points],tblArrivals[County],$B$3,tblArrivals[Category],D10)</f>
        <v/>
      </c>
    </row>
    <row r="11">
      <c r="A11" s="3" t="inlineStr">
        <is>
          <t>Backlog End</t>
        </is>
      </c>
      <c r="B11" s="4">
        <f>IFERROR(INDEX(tblCountyCalc[Backlog_End],MATCH($B$3,tblCountyCalc[County],0)),"")</f>
        <v/>
      </c>
      <c r="D11" t="inlineStr">
        <is>
          <t>Customer Contacts - Email/Portal</t>
        </is>
      </c>
      <c r="E11">
        <f>SUMIFS(tblArrivals[Points],tblArrivals[County],$B$3,tblArrivals[Category],D11)</f>
        <v/>
      </c>
    </row>
    <row r="12">
      <c r="A12" s="3" t="inlineStr">
        <is>
          <t>FTE Required</t>
        </is>
      </c>
      <c r="B12" s="4">
        <f>IFERROR(INDEX(tblCountyCalc[FTE_required],MATCH($B$3,tblCountyCalc[County],0)),"")</f>
        <v/>
      </c>
      <c r="D12" t="inlineStr">
        <is>
          <t>Interpreter/Language Services</t>
        </is>
      </c>
      <c r="E12">
        <f>SUMIFS(tblArrivals[Points],tblArrivals[County],$B$3,tblArrivals[Category],D12)</f>
        <v/>
      </c>
    </row>
    <row r="13">
      <c r="A13" s="3" t="inlineStr">
        <is>
          <t>Staffing Gap</t>
        </is>
      </c>
      <c r="B13" s="4">
        <f>IFERROR(INDEX(tblCountyCalc[Gap],MATCH($B$3,tblCountyCalc[County],0)),"")</f>
        <v/>
      </c>
      <c r="D13" t="inlineStr">
        <is>
          <t>Safety / High Risk Handling</t>
        </is>
      </c>
      <c r="E13">
        <f>SUMIFS(tblArrivals[Points],tblArrivals[County],$B$3,tblArrivals[Category],D13)</f>
        <v/>
      </c>
    </row>
    <row r="14">
      <c r="A14" s="3" t="inlineStr">
        <is>
          <t>RAG Status</t>
        </is>
      </c>
      <c r="B14" s="4">
        <f>IFERROR(INDEX(tblCountyCalc[RAG],MATCH($B$3,tblCountyCalc[County],0)),"")</f>
        <v/>
      </c>
      <c r="D14" t="inlineStr">
        <is>
          <t>Incarceration Coordination</t>
        </is>
      </c>
      <c r="E14">
        <f>SUMIFS(tblArrivals[Points],tblArrivals[County],$B$3,tblArrivals[Category],D14)</f>
        <v/>
      </c>
    </row>
    <row r="15">
      <c r="D15" t="inlineStr">
        <is>
          <t>Unlocatable / Skip Work</t>
        </is>
      </c>
      <c r="E15">
        <f>SUMIFS(tblArrivals[Points],tblArrivals[County],$B$3,tblArrivals[Category],D15)</f>
        <v/>
      </c>
    </row>
  </sheetData>
  <mergeCells count="1">
    <mergeCell ref="A1:F1"/>
  </mergeCells>
  <dataValidations count="1">
    <dataValidation sqref="B3" showDropDown="0" showInputMessage="0" showErrorMessage="0" allowBlank="0" type="list">
      <formula1>=tblCounties[County]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" customWidth="1" min="3" max="3"/>
    <col width="20" customWidth="1" min="4" max="4"/>
  </cols>
  <sheetData>
    <row r="1">
      <c r="A1" s="5" t="inlineStr">
        <is>
          <t>State of Minnesota — ACASM Dashboard (ACASM v1)</t>
        </is>
      </c>
    </row>
    <row r="3">
      <c r="A3" s="6" t="inlineStr">
        <is>
          <t>Period</t>
        </is>
      </c>
      <c r="B3">
        <f>State_Rollup!B3</f>
        <v/>
      </c>
      <c r="D3" s="6" t="inlineStr">
        <is>
          <t>Trend (fill History tab quarterly)</t>
        </is>
      </c>
    </row>
    <row r="4">
      <c r="A4" s="6" t="inlineStr">
        <is>
          <t>Total Arrival Points (AP_state)</t>
        </is>
      </c>
      <c r="B4">
        <f>State_Rollup!B4</f>
        <v/>
      </c>
    </row>
    <row r="5">
      <c r="A5" s="6" t="inlineStr">
        <is>
          <t>Total Effective Capacity</t>
        </is>
      </c>
      <c r="B5">
        <f>State_Rollup!B5</f>
        <v/>
      </c>
    </row>
    <row r="6">
      <c r="A6" s="6" t="inlineStr">
        <is>
          <t>State Utilization</t>
        </is>
      </c>
      <c r="B6">
        <f>State_Rollup!B6</f>
        <v/>
      </c>
    </row>
    <row r="7">
      <c r="A7" s="6" t="inlineStr">
        <is>
          <t>Total Backlog Start</t>
        </is>
      </c>
      <c r="B7">
        <f>State_Rollup!B7</f>
        <v/>
      </c>
    </row>
    <row r="8">
      <c r="A8" s="6" t="inlineStr">
        <is>
          <t>Total Backlog End</t>
        </is>
      </c>
      <c r="B8">
        <f>State_Rollup!B8</f>
        <v/>
      </c>
    </row>
    <row r="9">
      <c r="A9" s="6" t="inlineStr">
        <is>
          <t>Total FTE Required</t>
        </is>
      </c>
      <c r="B9">
        <f>State_Rollup!B9</f>
        <v/>
      </c>
    </row>
    <row r="10">
      <c r="A10" s="6" t="inlineStr">
        <is>
          <t>Total FTE On</t>
        </is>
      </c>
      <c r="B10">
        <f>State_Rollup!B10</f>
        <v/>
      </c>
    </row>
    <row r="11">
      <c r="A11" s="6" t="inlineStr">
        <is>
          <t>Total Staffing Gap</t>
        </is>
      </c>
      <c r="B11">
        <f>State_Rollup!B11</f>
        <v/>
      </c>
    </row>
    <row r="12">
      <c r="A12" s="6" t="inlineStr">
        <is>
          <t>State RAG Status</t>
        </is>
      </c>
      <c r="B12">
        <f>State_Rollup!B12</f>
        <v/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8" customWidth="1" min="13" max="13"/>
  </cols>
  <sheetData>
    <row r="1">
      <c r="A1" s="6" t="inlineStr">
        <is>
          <t>County Metrics (one row per county/period)</t>
        </is>
      </c>
    </row>
    <row r="2">
      <c r="A2" s="1" t="inlineStr">
        <is>
          <t>County</t>
        </is>
      </c>
      <c r="B2" s="1" t="inlineStr">
        <is>
          <t>Period</t>
        </is>
      </c>
      <c r="C2" s="1" t="inlineStr">
        <is>
          <t>AP</t>
        </is>
      </c>
      <c r="D2" s="1" t="inlineStr">
        <is>
          <t>CPF</t>
        </is>
      </c>
      <c r="E2" s="1" t="inlineStr">
        <is>
          <t>P_ref</t>
        </is>
      </c>
      <c r="F2" s="1" t="inlineStr">
        <is>
          <t>P_eff</t>
        </is>
      </c>
      <c r="G2" s="1" t="inlineStr">
        <is>
          <t>FTE_on</t>
        </is>
      </c>
      <c r="H2" s="1" t="inlineStr">
        <is>
          <t>Utilization</t>
        </is>
      </c>
      <c r="I2" s="1" t="inlineStr">
        <is>
          <t>Backlog_Start</t>
        </is>
      </c>
      <c r="J2" s="1" t="inlineStr">
        <is>
          <t>Backlog_End</t>
        </is>
      </c>
      <c r="K2" s="1" t="inlineStr">
        <is>
          <t>FTE_required</t>
        </is>
      </c>
      <c r="L2" s="1" t="inlineStr">
        <is>
          <t>Gap</t>
        </is>
      </c>
      <c r="M2" s="1" t="inlineStr">
        <is>
          <t>RAG</t>
        </is>
      </c>
    </row>
    <row r="3">
      <c r="A3" t="inlineStr">
        <is>
          <t>Aitkin</t>
        </is>
      </c>
      <c r="B3">
        <f>Inputs_State!$B$1</f>
        <v/>
      </c>
      <c r="C3">
        <f>IFERROR(INDEX(tblCountyCalc[AP],MATCH($A3,tblCountyCalc[County],0)),"")</f>
        <v/>
      </c>
      <c r="D3">
        <f>IFERROR(INDEX(tblCountyCalc[CPF],MATCH($A3,tblCountyCalc[County],0)),"")</f>
        <v/>
      </c>
      <c r="E3">
        <f>IFERROR(INDEX(tblCountyCalc[P_ref],MATCH($A3,tblCountyCalc[County],0)),"")</f>
        <v/>
      </c>
      <c r="F3">
        <f>IFERROR(INDEX(tblCountyCalc[P_eff],MATCH($A3,tblCountyCalc[County],0)),"")</f>
        <v/>
      </c>
      <c r="G3">
        <f>IFERROR(INDEX(tblCountyCalc[FTE_on],MATCH($A3,tblCountyCalc[County],0)),"")</f>
        <v/>
      </c>
      <c r="H3">
        <f>IFERROR(INDEX(tblCountyCalc[Utilization],MATCH($A3,tblCountyCalc[County],0)),"")</f>
        <v/>
      </c>
      <c r="I3">
        <f>IFERROR(INDEX(tblCountyCalc[Backlog_Start],MATCH($A3,tblCountyCalc[County],0)),"")</f>
        <v/>
      </c>
      <c r="J3">
        <f>IFERROR(INDEX(tblCountyCalc[Backlog_End],MATCH($A3,tblCountyCalc[County],0)),"")</f>
        <v/>
      </c>
      <c r="K3">
        <f>IFERROR(INDEX(tblCountyCalc[FTE_required],MATCH($A3,tblCountyCalc[County],0)),"")</f>
        <v/>
      </c>
      <c r="L3">
        <f>IFERROR(INDEX(tblCountyCalc[Gap],MATCH($A3,tblCountyCalc[County],0)),"")</f>
        <v/>
      </c>
      <c r="M3">
        <f>IFERROR(INDEX(tblCountyCalc[RAG],MATCH($A3,tblCountyCalc[County],0)),"")</f>
        <v/>
      </c>
    </row>
    <row r="4">
      <c r="A4" t="inlineStr">
        <is>
          <t>Anoka</t>
        </is>
      </c>
      <c r="B4">
        <f>Inputs_State!$B$1</f>
        <v/>
      </c>
      <c r="C4">
        <f>IFERROR(INDEX(tblCountyCalc[AP],MATCH($A4,tblCountyCalc[County],0)),"")</f>
        <v/>
      </c>
      <c r="D4">
        <f>IFERROR(INDEX(tblCountyCalc[CPF],MATCH($A4,tblCountyCalc[County],0)),"")</f>
        <v/>
      </c>
      <c r="E4">
        <f>IFERROR(INDEX(tblCountyCalc[P_ref],MATCH($A4,tblCountyCalc[County],0)),"")</f>
        <v/>
      </c>
      <c r="F4">
        <f>IFERROR(INDEX(tblCountyCalc[P_eff],MATCH($A4,tblCountyCalc[County],0)),"")</f>
        <v/>
      </c>
      <c r="G4">
        <f>IFERROR(INDEX(tblCountyCalc[FTE_on],MATCH($A4,tblCountyCalc[County],0)),"")</f>
        <v/>
      </c>
      <c r="H4">
        <f>IFERROR(INDEX(tblCountyCalc[Utilization],MATCH($A4,tblCountyCalc[County],0)),"")</f>
        <v/>
      </c>
      <c r="I4">
        <f>IFERROR(INDEX(tblCountyCalc[Backlog_Start],MATCH($A4,tblCountyCalc[County],0)),"")</f>
        <v/>
      </c>
      <c r="J4">
        <f>IFERROR(INDEX(tblCountyCalc[Backlog_End],MATCH($A4,tblCountyCalc[County],0)),"")</f>
        <v/>
      </c>
      <c r="K4">
        <f>IFERROR(INDEX(tblCountyCalc[FTE_required],MATCH($A4,tblCountyCalc[County],0)),"")</f>
        <v/>
      </c>
      <c r="L4">
        <f>IFERROR(INDEX(tblCountyCalc[Gap],MATCH($A4,tblCountyCalc[County],0)),"")</f>
        <v/>
      </c>
      <c r="M4">
        <f>IFERROR(INDEX(tblCountyCalc[RAG],MATCH($A4,tblCountyCalc[County],0)),"")</f>
        <v/>
      </c>
    </row>
    <row r="5">
      <c r="A5" t="inlineStr">
        <is>
          <t>Becker</t>
        </is>
      </c>
      <c r="B5">
        <f>Inputs_State!$B$1</f>
        <v/>
      </c>
      <c r="C5">
        <f>IFERROR(INDEX(tblCountyCalc[AP],MATCH($A5,tblCountyCalc[County],0)),"")</f>
        <v/>
      </c>
      <c r="D5">
        <f>IFERROR(INDEX(tblCountyCalc[CPF],MATCH($A5,tblCountyCalc[County],0)),"")</f>
        <v/>
      </c>
      <c r="E5">
        <f>IFERROR(INDEX(tblCountyCalc[P_ref],MATCH($A5,tblCountyCalc[County],0)),"")</f>
        <v/>
      </c>
      <c r="F5">
        <f>IFERROR(INDEX(tblCountyCalc[P_eff],MATCH($A5,tblCountyCalc[County],0)),"")</f>
        <v/>
      </c>
      <c r="G5">
        <f>IFERROR(INDEX(tblCountyCalc[FTE_on],MATCH($A5,tblCountyCalc[County],0)),"")</f>
        <v/>
      </c>
      <c r="H5">
        <f>IFERROR(INDEX(tblCountyCalc[Utilization],MATCH($A5,tblCountyCalc[County],0)),"")</f>
        <v/>
      </c>
      <c r="I5">
        <f>IFERROR(INDEX(tblCountyCalc[Backlog_Start],MATCH($A5,tblCountyCalc[County],0)),"")</f>
        <v/>
      </c>
      <c r="J5">
        <f>IFERROR(INDEX(tblCountyCalc[Backlog_End],MATCH($A5,tblCountyCalc[County],0)),"")</f>
        <v/>
      </c>
      <c r="K5">
        <f>IFERROR(INDEX(tblCountyCalc[FTE_required],MATCH($A5,tblCountyCalc[County],0)),"")</f>
        <v/>
      </c>
      <c r="L5">
        <f>IFERROR(INDEX(tblCountyCalc[Gap],MATCH($A5,tblCountyCalc[County],0)),"")</f>
        <v/>
      </c>
      <c r="M5">
        <f>IFERROR(INDEX(tblCountyCalc[RAG],MATCH($A5,tblCountyCalc[County],0)),"")</f>
        <v/>
      </c>
    </row>
    <row r="6">
      <c r="A6" t="inlineStr">
        <is>
          <t>Beltrami</t>
        </is>
      </c>
      <c r="B6">
        <f>Inputs_State!$B$1</f>
        <v/>
      </c>
      <c r="C6">
        <f>IFERROR(INDEX(tblCountyCalc[AP],MATCH($A6,tblCountyCalc[County],0)),"")</f>
        <v/>
      </c>
      <c r="D6">
        <f>IFERROR(INDEX(tblCountyCalc[CPF],MATCH($A6,tblCountyCalc[County],0)),"")</f>
        <v/>
      </c>
      <c r="E6">
        <f>IFERROR(INDEX(tblCountyCalc[P_ref],MATCH($A6,tblCountyCalc[County],0)),"")</f>
        <v/>
      </c>
      <c r="F6">
        <f>IFERROR(INDEX(tblCountyCalc[P_eff],MATCH($A6,tblCountyCalc[County],0)),"")</f>
        <v/>
      </c>
      <c r="G6">
        <f>IFERROR(INDEX(tblCountyCalc[FTE_on],MATCH($A6,tblCountyCalc[County],0)),"")</f>
        <v/>
      </c>
      <c r="H6">
        <f>IFERROR(INDEX(tblCountyCalc[Utilization],MATCH($A6,tblCountyCalc[County],0)),"")</f>
        <v/>
      </c>
      <c r="I6">
        <f>IFERROR(INDEX(tblCountyCalc[Backlog_Start],MATCH($A6,tblCountyCalc[County],0)),"")</f>
        <v/>
      </c>
      <c r="J6">
        <f>IFERROR(INDEX(tblCountyCalc[Backlog_End],MATCH($A6,tblCountyCalc[County],0)),"")</f>
        <v/>
      </c>
      <c r="K6">
        <f>IFERROR(INDEX(tblCountyCalc[FTE_required],MATCH($A6,tblCountyCalc[County],0)),"")</f>
        <v/>
      </c>
      <c r="L6">
        <f>IFERROR(INDEX(tblCountyCalc[Gap],MATCH($A6,tblCountyCalc[County],0)),"")</f>
        <v/>
      </c>
      <c r="M6">
        <f>IFERROR(INDEX(tblCountyCalc[RAG],MATCH($A6,tblCountyCalc[County],0)),"")</f>
        <v/>
      </c>
    </row>
    <row r="7">
      <c r="A7" t="inlineStr">
        <is>
          <t>Benton</t>
        </is>
      </c>
      <c r="B7">
        <f>Inputs_State!$B$1</f>
        <v/>
      </c>
      <c r="C7">
        <f>IFERROR(INDEX(tblCountyCalc[AP],MATCH($A7,tblCountyCalc[County],0)),"")</f>
        <v/>
      </c>
      <c r="D7">
        <f>IFERROR(INDEX(tblCountyCalc[CPF],MATCH($A7,tblCountyCalc[County],0)),"")</f>
        <v/>
      </c>
      <c r="E7">
        <f>IFERROR(INDEX(tblCountyCalc[P_ref],MATCH($A7,tblCountyCalc[County],0)),"")</f>
        <v/>
      </c>
      <c r="F7">
        <f>IFERROR(INDEX(tblCountyCalc[P_eff],MATCH($A7,tblCountyCalc[County],0)),"")</f>
        <v/>
      </c>
      <c r="G7">
        <f>IFERROR(INDEX(tblCountyCalc[FTE_on],MATCH($A7,tblCountyCalc[County],0)),"")</f>
        <v/>
      </c>
      <c r="H7">
        <f>IFERROR(INDEX(tblCountyCalc[Utilization],MATCH($A7,tblCountyCalc[County],0)),"")</f>
        <v/>
      </c>
      <c r="I7">
        <f>IFERROR(INDEX(tblCountyCalc[Backlog_Start],MATCH($A7,tblCountyCalc[County],0)),"")</f>
        <v/>
      </c>
      <c r="J7">
        <f>IFERROR(INDEX(tblCountyCalc[Backlog_End],MATCH($A7,tblCountyCalc[County],0)),"")</f>
        <v/>
      </c>
      <c r="K7">
        <f>IFERROR(INDEX(tblCountyCalc[FTE_required],MATCH($A7,tblCountyCalc[County],0)),"")</f>
        <v/>
      </c>
      <c r="L7">
        <f>IFERROR(INDEX(tblCountyCalc[Gap],MATCH($A7,tblCountyCalc[County],0)),"")</f>
        <v/>
      </c>
      <c r="M7">
        <f>IFERROR(INDEX(tblCountyCalc[RAG],MATCH($A7,tblCountyCalc[County],0)),"")</f>
        <v/>
      </c>
    </row>
    <row r="8">
      <c r="A8" t="inlineStr">
        <is>
          <t>Big Stone</t>
        </is>
      </c>
      <c r="B8">
        <f>Inputs_State!$B$1</f>
        <v/>
      </c>
      <c r="C8">
        <f>IFERROR(INDEX(tblCountyCalc[AP],MATCH($A8,tblCountyCalc[County],0)),"")</f>
        <v/>
      </c>
      <c r="D8">
        <f>IFERROR(INDEX(tblCountyCalc[CPF],MATCH($A8,tblCountyCalc[County],0)),"")</f>
        <v/>
      </c>
      <c r="E8">
        <f>IFERROR(INDEX(tblCountyCalc[P_ref],MATCH($A8,tblCountyCalc[County],0)),"")</f>
        <v/>
      </c>
      <c r="F8">
        <f>IFERROR(INDEX(tblCountyCalc[P_eff],MATCH($A8,tblCountyCalc[County],0)),"")</f>
        <v/>
      </c>
      <c r="G8">
        <f>IFERROR(INDEX(tblCountyCalc[FTE_on],MATCH($A8,tblCountyCalc[County],0)),"")</f>
        <v/>
      </c>
      <c r="H8">
        <f>IFERROR(INDEX(tblCountyCalc[Utilization],MATCH($A8,tblCountyCalc[County],0)),"")</f>
        <v/>
      </c>
      <c r="I8">
        <f>IFERROR(INDEX(tblCountyCalc[Backlog_Start],MATCH($A8,tblCountyCalc[County],0)),"")</f>
        <v/>
      </c>
      <c r="J8">
        <f>IFERROR(INDEX(tblCountyCalc[Backlog_End],MATCH($A8,tblCountyCalc[County],0)),"")</f>
        <v/>
      </c>
      <c r="K8">
        <f>IFERROR(INDEX(tblCountyCalc[FTE_required],MATCH($A8,tblCountyCalc[County],0)),"")</f>
        <v/>
      </c>
      <c r="L8">
        <f>IFERROR(INDEX(tblCountyCalc[Gap],MATCH($A8,tblCountyCalc[County],0)),"")</f>
        <v/>
      </c>
      <c r="M8">
        <f>IFERROR(INDEX(tblCountyCalc[RAG],MATCH($A8,tblCountyCalc[County],0)),"")</f>
        <v/>
      </c>
    </row>
    <row r="9">
      <c r="A9" t="inlineStr">
        <is>
          <t>Blue Earth</t>
        </is>
      </c>
      <c r="B9">
        <f>Inputs_State!$B$1</f>
        <v/>
      </c>
      <c r="C9">
        <f>IFERROR(INDEX(tblCountyCalc[AP],MATCH($A9,tblCountyCalc[County],0)),"")</f>
        <v/>
      </c>
      <c r="D9">
        <f>IFERROR(INDEX(tblCountyCalc[CPF],MATCH($A9,tblCountyCalc[County],0)),"")</f>
        <v/>
      </c>
      <c r="E9">
        <f>IFERROR(INDEX(tblCountyCalc[P_ref],MATCH($A9,tblCountyCalc[County],0)),"")</f>
        <v/>
      </c>
      <c r="F9">
        <f>IFERROR(INDEX(tblCountyCalc[P_eff],MATCH($A9,tblCountyCalc[County],0)),"")</f>
        <v/>
      </c>
      <c r="G9">
        <f>IFERROR(INDEX(tblCountyCalc[FTE_on],MATCH($A9,tblCountyCalc[County],0)),"")</f>
        <v/>
      </c>
      <c r="H9">
        <f>IFERROR(INDEX(tblCountyCalc[Utilization],MATCH($A9,tblCountyCalc[County],0)),"")</f>
        <v/>
      </c>
      <c r="I9">
        <f>IFERROR(INDEX(tblCountyCalc[Backlog_Start],MATCH($A9,tblCountyCalc[County],0)),"")</f>
        <v/>
      </c>
      <c r="J9">
        <f>IFERROR(INDEX(tblCountyCalc[Backlog_End],MATCH($A9,tblCountyCalc[County],0)),"")</f>
        <v/>
      </c>
      <c r="K9">
        <f>IFERROR(INDEX(tblCountyCalc[FTE_required],MATCH($A9,tblCountyCalc[County],0)),"")</f>
        <v/>
      </c>
      <c r="L9">
        <f>IFERROR(INDEX(tblCountyCalc[Gap],MATCH($A9,tblCountyCalc[County],0)),"")</f>
        <v/>
      </c>
      <c r="M9">
        <f>IFERROR(INDEX(tblCountyCalc[RAG],MATCH($A9,tblCountyCalc[County],0)),"")</f>
        <v/>
      </c>
    </row>
    <row r="10">
      <c r="A10" t="inlineStr">
        <is>
          <t>Brown</t>
        </is>
      </c>
      <c r="B10">
        <f>Inputs_State!$B$1</f>
        <v/>
      </c>
      <c r="C10">
        <f>IFERROR(INDEX(tblCountyCalc[AP],MATCH($A10,tblCountyCalc[County],0)),"")</f>
        <v/>
      </c>
      <c r="D10">
        <f>IFERROR(INDEX(tblCountyCalc[CPF],MATCH($A10,tblCountyCalc[County],0)),"")</f>
        <v/>
      </c>
      <c r="E10">
        <f>IFERROR(INDEX(tblCountyCalc[P_ref],MATCH($A10,tblCountyCalc[County],0)),"")</f>
        <v/>
      </c>
      <c r="F10">
        <f>IFERROR(INDEX(tblCountyCalc[P_eff],MATCH($A10,tblCountyCalc[County],0)),"")</f>
        <v/>
      </c>
      <c r="G10">
        <f>IFERROR(INDEX(tblCountyCalc[FTE_on],MATCH($A10,tblCountyCalc[County],0)),"")</f>
        <v/>
      </c>
      <c r="H10">
        <f>IFERROR(INDEX(tblCountyCalc[Utilization],MATCH($A10,tblCountyCalc[County],0)),"")</f>
        <v/>
      </c>
      <c r="I10">
        <f>IFERROR(INDEX(tblCountyCalc[Backlog_Start],MATCH($A10,tblCountyCalc[County],0)),"")</f>
        <v/>
      </c>
      <c r="J10">
        <f>IFERROR(INDEX(tblCountyCalc[Backlog_End],MATCH($A10,tblCountyCalc[County],0)),"")</f>
        <v/>
      </c>
      <c r="K10">
        <f>IFERROR(INDEX(tblCountyCalc[FTE_required],MATCH($A10,tblCountyCalc[County],0)),"")</f>
        <v/>
      </c>
      <c r="L10">
        <f>IFERROR(INDEX(tblCountyCalc[Gap],MATCH($A10,tblCountyCalc[County],0)),"")</f>
        <v/>
      </c>
      <c r="M10">
        <f>IFERROR(INDEX(tblCountyCalc[RAG],MATCH($A10,tblCountyCalc[County],0)),"")</f>
        <v/>
      </c>
    </row>
    <row r="11">
      <c r="A11" t="inlineStr">
        <is>
          <t>Carlton</t>
        </is>
      </c>
      <c r="B11">
        <f>Inputs_State!$B$1</f>
        <v/>
      </c>
      <c r="C11">
        <f>IFERROR(INDEX(tblCountyCalc[AP],MATCH($A11,tblCountyCalc[County],0)),"")</f>
        <v/>
      </c>
      <c r="D11">
        <f>IFERROR(INDEX(tblCountyCalc[CPF],MATCH($A11,tblCountyCalc[County],0)),"")</f>
        <v/>
      </c>
      <c r="E11">
        <f>IFERROR(INDEX(tblCountyCalc[P_ref],MATCH($A11,tblCountyCalc[County],0)),"")</f>
        <v/>
      </c>
      <c r="F11">
        <f>IFERROR(INDEX(tblCountyCalc[P_eff],MATCH($A11,tblCountyCalc[County],0)),"")</f>
        <v/>
      </c>
      <c r="G11">
        <f>IFERROR(INDEX(tblCountyCalc[FTE_on],MATCH($A11,tblCountyCalc[County],0)),"")</f>
        <v/>
      </c>
      <c r="H11">
        <f>IFERROR(INDEX(tblCountyCalc[Utilization],MATCH($A11,tblCountyCalc[County],0)),"")</f>
        <v/>
      </c>
      <c r="I11">
        <f>IFERROR(INDEX(tblCountyCalc[Backlog_Start],MATCH($A11,tblCountyCalc[County],0)),"")</f>
        <v/>
      </c>
      <c r="J11">
        <f>IFERROR(INDEX(tblCountyCalc[Backlog_End],MATCH($A11,tblCountyCalc[County],0)),"")</f>
        <v/>
      </c>
      <c r="K11">
        <f>IFERROR(INDEX(tblCountyCalc[FTE_required],MATCH($A11,tblCountyCalc[County],0)),"")</f>
        <v/>
      </c>
      <c r="L11">
        <f>IFERROR(INDEX(tblCountyCalc[Gap],MATCH($A11,tblCountyCalc[County],0)),"")</f>
        <v/>
      </c>
      <c r="M11">
        <f>IFERROR(INDEX(tblCountyCalc[RAG],MATCH($A11,tblCountyCalc[County],0)),"")</f>
        <v/>
      </c>
    </row>
    <row r="12">
      <c r="A12" t="inlineStr">
        <is>
          <t>Carver</t>
        </is>
      </c>
      <c r="B12">
        <f>Inputs_State!$B$1</f>
        <v/>
      </c>
      <c r="C12">
        <f>IFERROR(INDEX(tblCountyCalc[AP],MATCH($A12,tblCountyCalc[County],0)),"")</f>
        <v/>
      </c>
      <c r="D12">
        <f>IFERROR(INDEX(tblCountyCalc[CPF],MATCH($A12,tblCountyCalc[County],0)),"")</f>
        <v/>
      </c>
      <c r="E12">
        <f>IFERROR(INDEX(tblCountyCalc[P_ref],MATCH($A12,tblCountyCalc[County],0)),"")</f>
        <v/>
      </c>
      <c r="F12">
        <f>IFERROR(INDEX(tblCountyCalc[P_eff],MATCH($A12,tblCountyCalc[County],0)),"")</f>
        <v/>
      </c>
      <c r="G12">
        <f>IFERROR(INDEX(tblCountyCalc[FTE_on],MATCH($A12,tblCountyCalc[County],0)),"")</f>
        <v/>
      </c>
      <c r="H12">
        <f>IFERROR(INDEX(tblCountyCalc[Utilization],MATCH($A12,tblCountyCalc[County],0)),"")</f>
        <v/>
      </c>
      <c r="I12">
        <f>IFERROR(INDEX(tblCountyCalc[Backlog_Start],MATCH($A12,tblCountyCalc[County],0)),"")</f>
        <v/>
      </c>
      <c r="J12">
        <f>IFERROR(INDEX(tblCountyCalc[Backlog_End],MATCH($A12,tblCountyCalc[County],0)),"")</f>
        <v/>
      </c>
      <c r="K12">
        <f>IFERROR(INDEX(tblCountyCalc[FTE_required],MATCH($A12,tblCountyCalc[County],0)),"")</f>
        <v/>
      </c>
      <c r="L12">
        <f>IFERROR(INDEX(tblCountyCalc[Gap],MATCH($A12,tblCountyCalc[County],0)),"")</f>
        <v/>
      </c>
      <c r="M12">
        <f>IFERROR(INDEX(tblCountyCalc[RAG],MATCH($A12,tblCountyCalc[County],0)),"")</f>
        <v/>
      </c>
    </row>
    <row r="13">
      <c r="A13" t="inlineStr">
        <is>
          <t>Cass</t>
        </is>
      </c>
      <c r="B13">
        <f>Inputs_State!$B$1</f>
        <v/>
      </c>
      <c r="C13">
        <f>IFERROR(INDEX(tblCountyCalc[AP],MATCH($A13,tblCountyCalc[County],0)),"")</f>
        <v/>
      </c>
      <c r="D13">
        <f>IFERROR(INDEX(tblCountyCalc[CPF],MATCH($A13,tblCountyCalc[County],0)),"")</f>
        <v/>
      </c>
      <c r="E13">
        <f>IFERROR(INDEX(tblCountyCalc[P_ref],MATCH($A13,tblCountyCalc[County],0)),"")</f>
        <v/>
      </c>
      <c r="F13">
        <f>IFERROR(INDEX(tblCountyCalc[P_eff],MATCH($A13,tblCountyCalc[County],0)),"")</f>
        <v/>
      </c>
      <c r="G13">
        <f>IFERROR(INDEX(tblCountyCalc[FTE_on],MATCH($A13,tblCountyCalc[County],0)),"")</f>
        <v/>
      </c>
      <c r="H13">
        <f>IFERROR(INDEX(tblCountyCalc[Utilization],MATCH($A13,tblCountyCalc[County],0)),"")</f>
        <v/>
      </c>
      <c r="I13">
        <f>IFERROR(INDEX(tblCountyCalc[Backlog_Start],MATCH($A13,tblCountyCalc[County],0)),"")</f>
        <v/>
      </c>
      <c r="J13">
        <f>IFERROR(INDEX(tblCountyCalc[Backlog_End],MATCH($A13,tblCountyCalc[County],0)),"")</f>
        <v/>
      </c>
      <c r="K13">
        <f>IFERROR(INDEX(tblCountyCalc[FTE_required],MATCH($A13,tblCountyCalc[County],0)),"")</f>
        <v/>
      </c>
      <c r="L13">
        <f>IFERROR(INDEX(tblCountyCalc[Gap],MATCH($A13,tblCountyCalc[County],0)),"")</f>
        <v/>
      </c>
      <c r="M13">
        <f>IFERROR(INDEX(tblCountyCalc[RAG],MATCH($A13,tblCountyCalc[County],0)),"")</f>
        <v/>
      </c>
    </row>
    <row r="14">
      <c r="A14" t="inlineStr">
        <is>
          <t>Chippewa</t>
        </is>
      </c>
      <c r="B14">
        <f>Inputs_State!$B$1</f>
        <v/>
      </c>
      <c r="C14">
        <f>IFERROR(INDEX(tblCountyCalc[AP],MATCH($A14,tblCountyCalc[County],0)),"")</f>
        <v/>
      </c>
      <c r="D14">
        <f>IFERROR(INDEX(tblCountyCalc[CPF],MATCH($A14,tblCountyCalc[County],0)),"")</f>
        <v/>
      </c>
      <c r="E14">
        <f>IFERROR(INDEX(tblCountyCalc[P_ref],MATCH($A14,tblCountyCalc[County],0)),"")</f>
        <v/>
      </c>
      <c r="F14">
        <f>IFERROR(INDEX(tblCountyCalc[P_eff],MATCH($A14,tblCountyCalc[County],0)),"")</f>
        <v/>
      </c>
      <c r="G14">
        <f>IFERROR(INDEX(tblCountyCalc[FTE_on],MATCH($A14,tblCountyCalc[County],0)),"")</f>
        <v/>
      </c>
      <c r="H14">
        <f>IFERROR(INDEX(tblCountyCalc[Utilization],MATCH($A14,tblCountyCalc[County],0)),"")</f>
        <v/>
      </c>
      <c r="I14">
        <f>IFERROR(INDEX(tblCountyCalc[Backlog_Start],MATCH($A14,tblCountyCalc[County],0)),"")</f>
        <v/>
      </c>
      <c r="J14">
        <f>IFERROR(INDEX(tblCountyCalc[Backlog_End],MATCH($A14,tblCountyCalc[County],0)),"")</f>
        <v/>
      </c>
      <c r="K14">
        <f>IFERROR(INDEX(tblCountyCalc[FTE_required],MATCH($A14,tblCountyCalc[County],0)),"")</f>
        <v/>
      </c>
      <c r="L14">
        <f>IFERROR(INDEX(tblCountyCalc[Gap],MATCH($A14,tblCountyCalc[County],0)),"")</f>
        <v/>
      </c>
      <c r="M14">
        <f>IFERROR(INDEX(tblCountyCalc[RAG],MATCH($A14,tblCountyCalc[County],0)),"")</f>
        <v/>
      </c>
    </row>
    <row r="15">
      <c r="A15" t="inlineStr">
        <is>
          <t>Chisago</t>
        </is>
      </c>
      <c r="B15">
        <f>Inputs_State!$B$1</f>
        <v/>
      </c>
      <c r="C15">
        <f>IFERROR(INDEX(tblCountyCalc[AP],MATCH($A15,tblCountyCalc[County],0)),"")</f>
        <v/>
      </c>
      <c r="D15">
        <f>IFERROR(INDEX(tblCountyCalc[CPF],MATCH($A15,tblCountyCalc[County],0)),"")</f>
        <v/>
      </c>
      <c r="E15">
        <f>IFERROR(INDEX(tblCountyCalc[P_ref],MATCH($A15,tblCountyCalc[County],0)),"")</f>
        <v/>
      </c>
      <c r="F15">
        <f>IFERROR(INDEX(tblCountyCalc[P_eff],MATCH($A15,tblCountyCalc[County],0)),"")</f>
        <v/>
      </c>
      <c r="G15">
        <f>IFERROR(INDEX(tblCountyCalc[FTE_on],MATCH($A15,tblCountyCalc[County],0)),"")</f>
        <v/>
      </c>
      <c r="H15">
        <f>IFERROR(INDEX(tblCountyCalc[Utilization],MATCH($A15,tblCountyCalc[County],0)),"")</f>
        <v/>
      </c>
      <c r="I15">
        <f>IFERROR(INDEX(tblCountyCalc[Backlog_Start],MATCH($A15,tblCountyCalc[County],0)),"")</f>
        <v/>
      </c>
      <c r="J15">
        <f>IFERROR(INDEX(tblCountyCalc[Backlog_End],MATCH($A15,tblCountyCalc[County],0)),"")</f>
        <v/>
      </c>
      <c r="K15">
        <f>IFERROR(INDEX(tblCountyCalc[FTE_required],MATCH($A15,tblCountyCalc[County],0)),"")</f>
        <v/>
      </c>
      <c r="L15">
        <f>IFERROR(INDEX(tblCountyCalc[Gap],MATCH($A15,tblCountyCalc[County],0)),"")</f>
        <v/>
      </c>
      <c r="M15">
        <f>IFERROR(INDEX(tblCountyCalc[RAG],MATCH($A15,tblCountyCalc[County],0)),"")</f>
        <v/>
      </c>
    </row>
    <row r="16">
      <c r="A16" t="inlineStr">
        <is>
          <t>Clay</t>
        </is>
      </c>
      <c r="B16">
        <f>Inputs_State!$B$1</f>
        <v/>
      </c>
      <c r="C16">
        <f>IFERROR(INDEX(tblCountyCalc[AP],MATCH($A16,tblCountyCalc[County],0)),"")</f>
        <v/>
      </c>
      <c r="D16">
        <f>IFERROR(INDEX(tblCountyCalc[CPF],MATCH($A16,tblCountyCalc[County],0)),"")</f>
        <v/>
      </c>
      <c r="E16">
        <f>IFERROR(INDEX(tblCountyCalc[P_ref],MATCH($A16,tblCountyCalc[County],0)),"")</f>
        <v/>
      </c>
      <c r="F16">
        <f>IFERROR(INDEX(tblCountyCalc[P_eff],MATCH($A16,tblCountyCalc[County],0)),"")</f>
        <v/>
      </c>
      <c r="G16">
        <f>IFERROR(INDEX(tblCountyCalc[FTE_on],MATCH($A16,tblCountyCalc[County],0)),"")</f>
        <v/>
      </c>
      <c r="H16">
        <f>IFERROR(INDEX(tblCountyCalc[Utilization],MATCH($A16,tblCountyCalc[County],0)),"")</f>
        <v/>
      </c>
      <c r="I16">
        <f>IFERROR(INDEX(tblCountyCalc[Backlog_Start],MATCH($A16,tblCountyCalc[County],0)),"")</f>
        <v/>
      </c>
      <c r="J16">
        <f>IFERROR(INDEX(tblCountyCalc[Backlog_End],MATCH($A16,tblCountyCalc[County],0)),"")</f>
        <v/>
      </c>
      <c r="K16">
        <f>IFERROR(INDEX(tblCountyCalc[FTE_required],MATCH($A16,tblCountyCalc[County],0)),"")</f>
        <v/>
      </c>
      <c r="L16">
        <f>IFERROR(INDEX(tblCountyCalc[Gap],MATCH($A16,tblCountyCalc[County],0)),"")</f>
        <v/>
      </c>
      <c r="M16">
        <f>IFERROR(INDEX(tblCountyCalc[RAG],MATCH($A16,tblCountyCalc[County],0)),"")</f>
        <v/>
      </c>
    </row>
    <row r="17">
      <c r="A17" t="inlineStr">
        <is>
          <t>Clearwater</t>
        </is>
      </c>
      <c r="B17">
        <f>Inputs_State!$B$1</f>
        <v/>
      </c>
      <c r="C17">
        <f>IFERROR(INDEX(tblCountyCalc[AP],MATCH($A17,tblCountyCalc[County],0)),"")</f>
        <v/>
      </c>
      <c r="D17">
        <f>IFERROR(INDEX(tblCountyCalc[CPF],MATCH($A17,tblCountyCalc[County],0)),"")</f>
        <v/>
      </c>
      <c r="E17">
        <f>IFERROR(INDEX(tblCountyCalc[P_ref],MATCH($A17,tblCountyCalc[County],0)),"")</f>
        <v/>
      </c>
      <c r="F17">
        <f>IFERROR(INDEX(tblCountyCalc[P_eff],MATCH($A17,tblCountyCalc[County],0)),"")</f>
        <v/>
      </c>
      <c r="G17">
        <f>IFERROR(INDEX(tblCountyCalc[FTE_on],MATCH($A17,tblCountyCalc[County],0)),"")</f>
        <v/>
      </c>
      <c r="H17">
        <f>IFERROR(INDEX(tblCountyCalc[Utilization],MATCH($A17,tblCountyCalc[County],0)),"")</f>
        <v/>
      </c>
      <c r="I17">
        <f>IFERROR(INDEX(tblCountyCalc[Backlog_Start],MATCH($A17,tblCountyCalc[County],0)),"")</f>
        <v/>
      </c>
      <c r="J17">
        <f>IFERROR(INDEX(tblCountyCalc[Backlog_End],MATCH($A17,tblCountyCalc[County],0)),"")</f>
        <v/>
      </c>
      <c r="K17">
        <f>IFERROR(INDEX(tblCountyCalc[FTE_required],MATCH($A17,tblCountyCalc[County],0)),"")</f>
        <v/>
      </c>
      <c r="L17">
        <f>IFERROR(INDEX(tblCountyCalc[Gap],MATCH($A17,tblCountyCalc[County],0)),"")</f>
        <v/>
      </c>
      <c r="M17">
        <f>IFERROR(INDEX(tblCountyCalc[RAG],MATCH($A17,tblCountyCalc[County],0)),"")</f>
        <v/>
      </c>
    </row>
    <row r="18">
      <c r="A18" t="inlineStr">
        <is>
          <t>Cook</t>
        </is>
      </c>
      <c r="B18">
        <f>Inputs_State!$B$1</f>
        <v/>
      </c>
      <c r="C18">
        <f>IFERROR(INDEX(tblCountyCalc[AP],MATCH($A18,tblCountyCalc[County],0)),"")</f>
        <v/>
      </c>
      <c r="D18">
        <f>IFERROR(INDEX(tblCountyCalc[CPF],MATCH($A18,tblCountyCalc[County],0)),"")</f>
        <v/>
      </c>
      <c r="E18">
        <f>IFERROR(INDEX(tblCountyCalc[P_ref],MATCH($A18,tblCountyCalc[County],0)),"")</f>
        <v/>
      </c>
      <c r="F18">
        <f>IFERROR(INDEX(tblCountyCalc[P_eff],MATCH($A18,tblCountyCalc[County],0)),"")</f>
        <v/>
      </c>
      <c r="G18">
        <f>IFERROR(INDEX(tblCountyCalc[FTE_on],MATCH($A18,tblCountyCalc[County],0)),"")</f>
        <v/>
      </c>
      <c r="H18">
        <f>IFERROR(INDEX(tblCountyCalc[Utilization],MATCH($A18,tblCountyCalc[County],0)),"")</f>
        <v/>
      </c>
      <c r="I18">
        <f>IFERROR(INDEX(tblCountyCalc[Backlog_Start],MATCH($A18,tblCountyCalc[County],0)),"")</f>
        <v/>
      </c>
      <c r="J18">
        <f>IFERROR(INDEX(tblCountyCalc[Backlog_End],MATCH($A18,tblCountyCalc[County],0)),"")</f>
        <v/>
      </c>
      <c r="K18">
        <f>IFERROR(INDEX(tblCountyCalc[FTE_required],MATCH($A18,tblCountyCalc[County],0)),"")</f>
        <v/>
      </c>
      <c r="L18">
        <f>IFERROR(INDEX(tblCountyCalc[Gap],MATCH($A18,tblCountyCalc[County],0)),"")</f>
        <v/>
      </c>
      <c r="M18">
        <f>IFERROR(INDEX(tblCountyCalc[RAG],MATCH($A18,tblCountyCalc[County],0)),"")</f>
        <v/>
      </c>
    </row>
    <row r="19">
      <c r="A19" t="inlineStr">
        <is>
          <t>Cottonwood</t>
        </is>
      </c>
      <c r="B19">
        <f>Inputs_State!$B$1</f>
        <v/>
      </c>
      <c r="C19">
        <f>IFERROR(INDEX(tblCountyCalc[AP],MATCH($A19,tblCountyCalc[County],0)),"")</f>
        <v/>
      </c>
      <c r="D19">
        <f>IFERROR(INDEX(tblCountyCalc[CPF],MATCH($A19,tblCountyCalc[County],0)),"")</f>
        <v/>
      </c>
      <c r="E19">
        <f>IFERROR(INDEX(tblCountyCalc[P_ref],MATCH($A19,tblCountyCalc[County],0)),"")</f>
        <v/>
      </c>
      <c r="F19">
        <f>IFERROR(INDEX(tblCountyCalc[P_eff],MATCH($A19,tblCountyCalc[County],0)),"")</f>
        <v/>
      </c>
      <c r="G19">
        <f>IFERROR(INDEX(tblCountyCalc[FTE_on],MATCH($A19,tblCountyCalc[County],0)),"")</f>
        <v/>
      </c>
      <c r="H19">
        <f>IFERROR(INDEX(tblCountyCalc[Utilization],MATCH($A19,tblCountyCalc[County],0)),"")</f>
        <v/>
      </c>
      <c r="I19">
        <f>IFERROR(INDEX(tblCountyCalc[Backlog_Start],MATCH($A19,tblCountyCalc[County],0)),"")</f>
        <v/>
      </c>
      <c r="J19">
        <f>IFERROR(INDEX(tblCountyCalc[Backlog_End],MATCH($A19,tblCountyCalc[County],0)),"")</f>
        <v/>
      </c>
      <c r="K19">
        <f>IFERROR(INDEX(tblCountyCalc[FTE_required],MATCH($A19,tblCountyCalc[County],0)),"")</f>
        <v/>
      </c>
      <c r="L19">
        <f>IFERROR(INDEX(tblCountyCalc[Gap],MATCH($A19,tblCountyCalc[County],0)),"")</f>
        <v/>
      </c>
      <c r="M19">
        <f>IFERROR(INDEX(tblCountyCalc[RAG],MATCH($A19,tblCountyCalc[County],0)),"")</f>
        <v/>
      </c>
    </row>
    <row r="20">
      <c r="A20" t="inlineStr">
        <is>
          <t>Crow Wing</t>
        </is>
      </c>
      <c r="B20">
        <f>Inputs_State!$B$1</f>
        <v/>
      </c>
      <c r="C20">
        <f>IFERROR(INDEX(tblCountyCalc[AP],MATCH($A20,tblCountyCalc[County],0)),"")</f>
        <v/>
      </c>
      <c r="D20">
        <f>IFERROR(INDEX(tblCountyCalc[CPF],MATCH($A20,tblCountyCalc[County],0)),"")</f>
        <v/>
      </c>
      <c r="E20">
        <f>IFERROR(INDEX(tblCountyCalc[P_ref],MATCH($A20,tblCountyCalc[County],0)),"")</f>
        <v/>
      </c>
      <c r="F20">
        <f>IFERROR(INDEX(tblCountyCalc[P_eff],MATCH($A20,tblCountyCalc[County],0)),"")</f>
        <v/>
      </c>
      <c r="G20">
        <f>IFERROR(INDEX(tblCountyCalc[FTE_on],MATCH($A20,tblCountyCalc[County],0)),"")</f>
        <v/>
      </c>
      <c r="H20">
        <f>IFERROR(INDEX(tblCountyCalc[Utilization],MATCH($A20,tblCountyCalc[County],0)),"")</f>
        <v/>
      </c>
      <c r="I20">
        <f>IFERROR(INDEX(tblCountyCalc[Backlog_Start],MATCH($A20,tblCountyCalc[County],0)),"")</f>
        <v/>
      </c>
      <c r="J20">
        <f>IFERROR(INDEX(tblCountyCalc[Backlog_End],MATCH($A20,tblCountyCalc[County],0)),"")</f>
        <v/>
      </c>
      <c r="K20">
        <f>IFERROR(INDEX(tblCountyCalc[FTE_required],MATCH($A20,tblCountyCalc[County],0)),"")</f>
        <v/>
      </c>
      <c r="L20">
        <f>IFERROR(INDEX(tblCountyCalc[Gap],MATCH($A20,tblCountyCalc[County],0)),"")</f>
        <v/>
      </c>
      <c r="M20">
        <f>IFERROR(INDEX(tblCountyCalc[RAG],MATCH($A20,tblCountyCalc[County],0)),"")</f>
        <v/>
      </c>
    </row>
    <row r="21">
      <c r="A21" t="inlineStr">
        <is>
          <t>Dakota</t>
        </is>
      </c>
      <c r="B21">
        <f>Inputs_State!$B$1</f>
        <v/>
      </c>
      <c r="C21">
        <f>IFERROR(INDEX(tblCountyCalc[AP],MATCH($A21,tblCountyCalc[County],0)),"")</f>
        <v/>
      </c>
      <c r="D21">
        <f>IFERROR(INDEX(tblCountyCalc[CPF],MATCH($A21,tblCountyCalc[County],0)),"")</f>
        <v/>
      </c>
      <c r="E21">
        <f>IFERROR(INDEX(tblCountyCalc[P_ref],MATCH($A21,tblCountyCalc[County],0)),"")</f>
        <v/>
      </c>
      <c r="F21">
        <f>IFERROR(INDEX(tblCountyCalc[P_eff],MATCH($A21,tblCountyCalc[County],0)),"")</f>
        <v/>
      </c>
      <c r="G21">
        <f>IFERROR(INDEX(tblCountyCalc[FTE_on],MATCH($A21,tblCountyCalc[County],0)),"")</f>
        <v/>
      </c>
      <c r="H21">
        <f>IFERROR(INDEX(tblCountyCalc[Utilization],MATCH($A21,tblCountyCalc[County],0)),"")</f>
        <v/>
      </c>
      <c r="I21">
        <f>IFERROR(INDEX(tblCountyCalc[Backlog_Start],MATCH($A21,tblCountyCalc[County],0)),"")</f>
        <v/>
      </c>
      <c r="J21">
        <f>IFERROR(INDEX(tblCountyCalc[Backlog_End],MATCH($A21,tblCountyCalc[County],0)),"")</f>
        <v/>
      </c>
      <c r="K21">
        <f>IFERROR(INDEX(tblCountyCalc[FTE_required],MATCH($A21,tblCountyCalc[County],0)),"")</f>
        <v/>
      </c>
      <c r="L21">
        <f>IFERROR(INDEX(tblCountyCalc[Gap],MATCH($A21,tblCountyCalc[County],0)),"")</f>
        <v/>
      </c>
      <c r="M21">
        <f>IFERROR(INDEX(tblCountyCalc[RAG],MATCH($A21,tblCountyCalc[County],0)),"")</f>
        <v/>
      </c>
    </row>
    <row r="22">
      <c r="A22" t="inlineStr">
        <is>
          <t>Dodge</t>
        </is>
      </c>
      <c r="B22">
        <f>Inputs_State!$B$1</f>
        <v/>
      </c>
      <c r="C22">
        <f>IFERROR(INDEX(tblCountyCalc[AP],MATCH($A22,tblCountyCalc[County],0)),"")</f>
        <v/>
      </c>
      <c r="D22">
        <f>IFERROR(INDEX(tblCountyCalc[CPF],MATCH($A22,tblCountyCalc[County],0)),"")</f>
        <v/>
      </c>
      <c r="E22">
        <f>IFERROR(INDEX(tblCountyCalc[P_ref],MATCH($A22,tblCountyCalc[County],0)),"")</f>
        <v/>
      </c>
      <c r="F22">
        <f>IFERROR(INDEX(tblCountyCalc[P_eff],MATCH($A22,tblCountyCalc[County],0)),"")</f>
        <v/>
      </c>
      <c r="G22">
        <f>IFERROR(INDEX(tblCountyCalc[FTE_on],MATCH($A22,tblCountyCalc[County],0)),"")</f>
        <v/>
      </c>
      <c r="H22">
        <f>IFERROR(INDEX(tblCountyCalc[Utilization],MATCH($A22,tblCountyCalc[County],0)),"")</f>
        <v/>
      </c>
      <c r="I22">
        <f>IFERROR(INDEX(tblCountyCalc[Backlog_Start],MATCH($A22,tblCountyCalc[County],0)),"")</f>
        <v/>
      </c>
      <c r="J22">
        <f>IFERROR(INDEX(tblCountyCalc[Backlog_End],MATCH($A22,tblCountyCalc[County],0)),"")</f>
        <v/>
      </c>
      <c r="K22">
        <f>IFERROR(INDEX(tblCountyCalc[FTE_required],MATCH($A22,tblCountyCalc[County],0)),"")</f>
        <v/>
      </c>
      <c r="L22">
        <f>IFERROR(INDEX(tblCountyCalc[Gap],MATCH($A22,tblCountyCalc[County],0)),"")</f>
        <v/>
      </c>
      <c r="M22">
        <f>IFERROR(INDEX(tblCountyCalc[RAG],MATCH($A22,tblCountyCalc[County],0)),"")</f>
        <v/>
      </c>
    </row>
    <row r="23">
      <c r="A23" t="inlineStr">
        <is>
          <t>Douglas</t>
        </is>
      </c>
      <c r="B23">
        <f>Inputs_State!$B$1</f>
        <v/>
      </c>
      <c r="C23">
        <f>IFERROR(INDEX(tblCountyCalc[AP],MATCH($A23,tblCountyCalc[County],0)),"")</f>
        <v/>
      </c>
      <c r="D23">
        <f>IFERROR(INDEX(tblCountyCalc[CPF],MATCH($A23,tblCountyCalc[County],0)),"")</f>
        <v/>
      </c>
      <c r="E23">
        <f>IFERROR(INDEX(tblCountyCalc[P_ref],MATCH($A23,tblCountyCalc[County],0)),"")</f>
        <v/>
      </c>
      <c r="F23">
        <f>IFERROR(INDEX(tblCountyCalc[P_eff],MATCH($A23,tblCountyCalc[County],0)),"")</f>
        <v/>
      </c>
      <c r="G23">
        <f>IFERROR(INDEX(tblCountyCalc[FTE_on],MATCH($A23,tblCountyCalc[County],0)),"")</f>
        <v/>
      </c>
      <c r="H23">
        <f>IFERROR(INDEX(tblCountyCalc[Utilization],MATCH($A23,tblCountyCalc[County],0)),"")</f>
        <v/>
      </c>
      <c r="I23">
        <f>IFERROR(INDEX(tblCountyCalc[Backlog_Start],MATCH($A23,tblCountyCalc[County],0)),"")</f>
        <v/>
      </c>
      <c r="J23">
        <f>IFERROR(INDEX(tblCountyCalc[Backlog_End],MATCH($A23,tblCountyCalc[County],0)),"")</f>
        <v/>
      </c>
      <c r="K23">
        <f>IFERROR(INDEX(tblCountyCalc[FTE_required],MATCH($A23,tblCountyCalc[County],0)),"")</f>
        <v/>
      </c>
      <c r="L23">
        <f>IFERROR(INDEX(tblCountyCalc[Gap],MATCH($A23,tblCountyCalc[County],0)),"")</f>
        <v/>
      </c>
      <c r="M23">
        <f>IFERROR(INDEX(tblCountyCalc[RAG],MATCH($A23,tblCountyCalc[County],0)),"")</f>
        <v/>
      </c>
    </row>
    <row r="24">
      <c r="A24" t="inlineStr">
        <is>
          <t>Faribault</t>
        </is>
      </c>
      <c r="B24">
        <f>Inputs_State!$B$1</f>
        <v/>
      </c>
      <c r="C24">
        <f>IFERROR(INDEX(tblCountyCalc[AP],MATCH($A24,tblCountyCalc[County],0)),"")</f>
        <v/>
      </c>
      <c r="D24">
        <f>IFERROR(INDEX(tblCountyCalc[CPF],MATCH($A24,tblCountyCalc[County],0)),"")</f>
        <v/>
      </c>
      <c r="E24">
        <f>IFERROR(INDEX(tblCountyCalc[P_ref],MATCH($A24,tblCountyCalc[County],0)),"")</f>
        <v/>
      </c>
      <c r="F24">
        <f>IFERROR(INDEX(tblCountyCalc[P_eff],MATCH($A24,tblCountyCalc[County],0)),"")</f>
        <v/>
      </c>
      <c r="G24">
        <f>IFERROR(INDEX(tblCountyCalc[FTE_on],MATCH($A24,tblCountyCalc[County],0)),"")</f>
        <v/>
      </c>
      <c r="H24">
        <f>IFERROR(INDEX(tblCountyCalc[Utilization],MATCH($A24,tblCountyCalc[County],0)),"")</f>
        <v/>
      </c>
      <c r="I24">
        <f>IFERROR(INDEX(tblCountyCalc[Backlog_Start],MATCH($A24,tblCountyCalc[County],0)),"")</f>
        <v/>
      </c>
      <c r="J24">
        <f>IFERROR(INDEX(tblCountyCalc[Backlog_End],MATCH($A24,tblCountyCalc[County],0)),"")</f>
        <v/>
      </c>
      <c r="K24">
        <f>IFERROR(INDEX(tblCountyCalc[FTE_required],MATCH($A24,tblCountyCalc[County],0)),"")</f>
        <v/>
      </c>
      <c r="L24">
        <f>IFERROR(INDEX(tblCountyCalc[Gap],MATCH($A24,tblCountyCalc[County],0)),"")</f>
        <v/>
      </c>
      <c r="M24">
        <f>IFERROR(INDEX(tblCountyCalc[RAG],MATCH($A24,tblCountyCalc[County],0)),"")</f>
        <v/>
      </c>
    </row>
    <row r="25">
      <c r="A25" t="inlineStr">
        <is>
          <t>Fillmore</t>
        </is>
      </c>
      <c r="B25">
        <f>Inputs_State!$B$1</f>
        <v/>
      </c>
      <c r="C25">
        <f>IFERROR(INDEX(tblCountyCalc[AP],MATCH($A25,tblCountyCalc[County],0)),"")</f>
        <v/>
      </c>
      <c r="D25">
        <f>IFERROR(INDEX(tblCountyCalc[CPF],MATCH($A25,tblCountyCalc[County],0)),"")</f>
        <v/>
      </c>
      <c r="E25">
        <f>IFERROR(INDEX(tblCountyCalc[P_ref],MATCH($A25,tblCountyCalc[County],0)),"")</f>
        <v/>
      </c>
      <c r="F25">
        <f>IFERROR(INDEX(tblCountyCalc[P_eff],MATCH($A25,tblCountyCalc[County],0)),"")</f>
        <v/>
      </c>
      <c r="G25">
        <f>IFERROR(INDEX(tblCountyCalc[FTE_on],MATCH($A25,tblCountyCalc[County],0)),"")</f>
        <v/>
      </c>
      <c r="H25">
        <f>IFERROR(INDEX(tblCountyCalc[Utilization],MATCH($A25,tblCountyCalc[County],0)),"")</f>
        <v/>
      </c>
      <c r="I25">
        <f>IFERROR(INDEX(tblCountyCalc[Backlog_Start],MATCH($A25,tblCountyCalc[County],0)),"")</f>
        <v/>
      </c>
      <c r="J25">
        <f>IFERROR(INDEX(tblCountyCalc[Backlog_End],MATCH($A25,tblCountyCalc[County],0)),"")</f>
        <v/>
      </c>
      <c r="K25">
        <f>IFERROR(INDEX(tblCountyCalc[FTE_required],MATCH($A25,tblCountyCalc[County],0)),"")</f>
        <v/>
      </c>
      <c r="L25">
        <f>IFERROR(INDEX(tblCountyCalc[Gap],MATCH($A25,tblCountyCalc[County],0)),"")</f>
        <v/>
      </c>
      <c r="M25">
        <f>IFERROR(INDEX(tblCountyCalc[RAG],MATCH($A25,tblCountyCalc[County],0)),"")</f>
        <v/>
      </c>
    </row>
    <row r="26">
      <c r="A26" t="inlineStr">
        <is>
          <t>Freeborn</t>
        </is>
      </c>
      <c r="B26">
        <f>Inputs_State!$B$1</f>
        <v/>
      </c>
      <c r="C26">
        <f>IFERROR(INDEX(tblCountyCalc[AP],MATCH($A26,tblCountyCalc[County],0)),"")</f>
        <v/>
      </c>
      <c r="D26">
        <f>IFERROR(INDEX(tblCountyCalc[CPF],MATCH($A26,tblCountyCalc[County],0)),"")</f>
        <v/>
      </c>
      <c r="E26">
        <f>IFERROR(INDEX(tblCountyCalc[P_ref],MATCH($A26,tblCountyCalc[County],0)),"")</f>
        <v/>
      </c>
      <c r="F26">
        <f>IFERROR(INDEX(tblCountyCalc[P_eff],MATCH($A26,tblCountyCalc[County],0)),"")</f>
        <v/>
      </c>
      <c r="G26">
        <f>IFERROR(INDEX(tblCountyCalc[FTE_on],MATCH($A26,tblCountyCalc[County],0)),"")</f>
        <v/>
      </c>
      <c r="H26">
        <f>IFERROR(INDEX(tblCountyCalc[Utilization],MATCH($A26,tblCountyCalc[County],0)),"")</f>
        <v/>
      </c>
      <c r="I26">
        <f>IFERROR(INDEX(tblCountyCalc[Backlog_Start],MATCH($A26,tblCountyCalc[County],0)),"")</f>
        <v/>
      </c>
      <c r="J26">
        <f>IFERROR(INDEX(tblCountyCalc[Backlog_End],MATCH($A26,tblCountyCalc[County],0)),"")</f>
        <v/>
      </c>
      <c r="K26">
        <f>IFERROR(INDEX(tblCountyCalc[FTE_required],MATCH($A26,tblCountyCalc[County],0)),"")</f>
        <v/>
      </c>
      <c r="L26">
        <f>IFERROR(INDEX(tblCountyCalc[Gap],MATCH($A26,tblCountyCalc[County],0)),"")</f>
        <v/>
      </c>
      <c r="M26">
        <f>IFERROR(INDEX(tblCountyCalc[RAG],MATCH($A26,tblCountyCalc[County],0)),"")</f>
        <v/>
      </c>
    </row>
    <row r="27">
      <c r="A27" t="inlineStr">
        <is>
          <t>Goodhue</t>
        </is>
      </c>
      <c r="B27">
        <f>Inputs_State!$B$1</f>
        <v/>
      </c>
      <c r="C27">
        <f>IFERROR(INDEX(tblCountyCalc[AP],MATCH($A27,tblCountyCalc[County],0)),"")</f>
        <v/>
      </c>
      <c r="D27">
        <f>IFERROR(INDEX(tblCountyCalc[CPF],MATCH($A27,tblCountyCalc[County],0)),"")</f>
        <v/>
      </c>
      <c r="E27">
        <f>IFERROR(INDEX(tblCountyCalc[P_ref],MATCH($A27,tblCountyCalc[County],0)),"")</f>
        <v/>
      </c>
      <c r="F27">
        <f>IFERROR(INDEX(tblCountyCalc[P_eff],MATCH($A27,tblCountyCalc[County],0)),"")</f>
        <v/>
      </c>
      <c r="G27">
        <f>IFERROR(INDEX(tblCountyCalc[FTE_on],MATCH($A27,tblCountyCalc[County],0)),"")</f>
        <v/>
      </c>
      <c r="H27">
        <f>IFERROR(INDEX(tblCountyCalc[Utilization],MATCH($A27,tblCountyCalc[County],0)),"")</f>
        <v/>
      </c>
      <c r="I27">
        <f>IFERROR(INDEX(tblCountyCalc[Backlog_Start],MATCH($A27,tblCountyCalc[County],0)),"")</f>
        <v/>
      </c>
      <c r="J27">
        <f>IFERROR(INDEX(tblCountyCalc[Backlog_End],MATCH($A27,tblCountyCalc[County],0)),"")</f>
        <v/>
      </c>
      <c r="K27">
        <f>IFERROR(INDEX(tblCountyCalc[FTE_required],MATCH($A27,tblCountyCalc[County],0)),"")</f>
        <v/>
      </c>
      <c r="L27">
        <f>IFERROR(INDEX(tblCountyCalc[Gap],MATCH($A27,tblCountyCalc[County],0)),"")</f>
        <v/>
      </c>
      <c r="M27">
        <f>IFERROR(INDEX(tblCountyCalc[RAG],MATCH($A27,tblCountyCalc[County],0)),"")</f>
        <v/>
      </c>
    </row>
    <row r="28">
      <c r="A28" t="inlineStr">
        <is>
          <t>Grant</t>
        </is>
      </c>
      <c r="B28">
        <f>Inputs_State!$B$1</f>
        <v/>
      </c>
      <c r="C28">
        <f>IFERROR(INDEX(tblCountyCalc[AP],MATCH($A28,tblCountyCalc[County],0)),"")</f>
        <v/>
      </c>
      <c r="D28">
        <f>IFERROR(INDEX(tblCountyCalc[CPF],MATCH($A28,tblCountyCalc[County],0)),"")</f>
        <v/>
      </c>
      <c r="E28">
        <f>IFERROR(INDEX(tblCountyCalc[P_ref],MATCH($A28,tblCountyCalc[County],0)),"")</f>
        <v/>
      </c>
      <c r="F28">
        <f>IFERROR(INDEX(tblCountyCalc[P_eff],MATCH($A28,tblCountyCalc[County],0)),"")</f>
        <v/>
      </c>
      <c r="G28">
        <f>IFERROR(INDEX(tblCountyCalc[FTE_on],MATCH($A28,tblCountyCalc[County],0)),"")</f>
        <v/>
      </c>
      <c r="H28">
        <f>IFERROR(INDEX(tblCountyCalc[Utilization],MATCH($A28,tblCountyCalc[County],0)),"")</f>
        <v/>
      </c>
      <c r="I28">
        <f>IFERROR(INDEX(tblCountyCalc[Backlog_Start],MATCH($A28,tblCountyCalc[County],0)),"")</f>
        <v/>
      </c>
      <c r="J28">
        <f>IFERROR(INDEX(tblCountyCalc[Backlog_End],MATCH($A28,tblCountyCalc[County],0)),"")</f>
        <v/>
      </c>
      <c r="K28">
        <f>IFERROR(INDEX(tblCountyCalc[FTE_required],MATCH($A28,tblCountyCalc[County],0)),"")</f>
        <v/>
      </c>
      <c r="L28">
        <f>IFERROR(INDEX(tblCountyCalc[Gap],MATCH($A28,tblCountyCalc[County],0)),"")</f>
        <v/>
      </c>
      <c r="M28">
        <f>IFERROR(INDEX(tblCountyCalc[RAG],MATCH($A28,tblCountyCalc[County],0)),"")</f>
        <v/>
      </c>
    </row>
    <row r="29">
      <c r="A29" t="inlineStr">
        <is>
          <t>Hennepin</t>
        </is>
      </c>
      <c r="B29">
        <f>Inputs_State!$B$1</f>
        <v/>
      </c>
      <c r="C29">
        <f>IFERROR(INDEX(tblCountyCalc[AP],MATCH($A29,tblCountyCalc[County],0)),"")</f>
        <v/>
      </c>
      <c r="D29">
        <f>IFERROR(INDEX(tblCountyCalc[CPF],MATCH($A29,tblCountyCalc[County],0)),"")</f>
        <v/>
      </c>
      <c r="E29">
        <f>IFERROR(INDEX(tblCountyCalc[P_ref],MATCH($A29,tblCountyCalc[County],0)),"")</f>
        <v/>
      </c>
      <c r="F29">
        <f>IFERROR(INDEX(tblCountyCalc[P_eff],MATCH($A29,tblCountyCalc[County],0)),"")</f>
        <v/>
      </c>
      <c r="G29">
        <f>IFERROR(INDEX(tblCountyCalc[FTE_on],MATCH($A29,tblCountyCalc[County],0)),"")</f>
        <v/>
      </c>
      <c r="H29">
        <f>IFERROR(INDEX(tblCountyCalc[Utilization],MATCH($A29,tblCountyCalc[County],0)),"")</f>
        <v/>
      </c>
      <c r="I29">
        <f>IFERROR(INDEX(tblCountyCalc[Backlog_Start],MATCH($A29,tblCountyCalc[County],0)),"")</f>
        <v/>
      </c>
      <c r="J29">
        <f>IFERROR(INDEX(tblCountyCalc[Backlog_End],MATCH($A29,tblCountyCalc[County],0)),"")</f>
        <v/>
      </c>
      <c r="K29">
        <f>IFERROR(INDEX(tblCountyCalc[FTE_required],MATCH($A29,tblCountyCalc[County],0)),"")</f>
        <v/>
      </c>
      <c r="L29">
        <f>IFERROR(INDEX(tblCountyCalc[Gap],MATCH($A29,tblCountyCalc[County],0)),"")</f>
        <v/>
      </c>
      <c r="M29">
        <f>IFERROR(INDEX(tblCountyCalc[RAG],MATCH($A29,tblCountyCalc[County],0)),"")</f>
        <v/>
      </c>
    </row>
    <row r="30">
      <c r="A30" t="inlineStr">
        <is>
          <t>Houston</t>
        </is>
      </c>
      <c r="B30">
        <f>Inputs_State!$B$1</f>
        <v/>
      </c>
      <c r="C30">
        <f>IFERROR(INDEX(tblCountyCalc[AP],MATCH($A30,tblCountyCalc[County],0)),"")</f>
        <v/>
      </c>
      <c r="D30">
        <f>IFERROR(INDEX(tblCountyCalc[CPF],MATCH($A30,tblCountyCalc[County],0)),"")</f>
        <v/>
      </c>
      <c r="E30">
        <f>IFERROR(INDEX(tblCountyCalc[P_ref],MATCH($A30,tblCountyCalc[County],0)),"")</f>
        <v/>
      </c>
      <c r="F30">
        <f>IFERROR(INDEX(tblCountyCalc[P_eff],MATCH($A30,tblCountyCalc[County],0)),"")</f>
        <v/>
      </c>
      <c r="G30">
        <f>IFERROR(INDEX(tblCountyCalc[FTE_on],MATCH($A30,tblCountyCalc[County],0)),"")</f>
        <v/>
      </c>
      <c r="H30">
        <f>IFERROR(INDEX(tblCountyCalc[Utilization],MATCH($A30,tblCountyCalc[County],0)),"")</f>
        <v/>
      </c>
      <c r="I30">
        <f>IFERROR(INDEX(tblCountyCalc[Backlog_Start],MATCH($A30,tblCountyCalc[County],0)),"")</f>
        <v/>
      </c>
      <c r="J30">
        <f>IFERROR(INDEX(tblCountyCalc[Backlog_End],MATCH($A30,tblCountyCalc[County],0)),"")</f>
        <v/>
      </c>
      <c r="K30">
        <f>IFERROR(INDEX(tblCountyCalc[FTE_required],MATCH($A30,tblCountyCalc[County],0)),"")</f>
        <v/>
      </c>
      <c r="L30">
        <f>IFERROR(INDEX(tblCountyCalc[Gap],MATCH($A30,tblCountyCalc[County],0)),"")</f>
        <v/>
      </c>
      <c r="M30">
        <f>IFERROR(INDEX(tblCountyCalc[RAG],MATCH($A30,tblCountyCalc[County],0)),"")</f>
        <v/>
      </c>
    </row>
    <row r="31">
      <c r="A31" t="inlineStr">
        <is>
          <t>Hubbard</t>
        </is>
      </c>
      <c r="B31">
        <f>Inputs_State!$B$1</f>
        <v/>
      </c>
      <c r="C31">
        <f>IFERROR(INDEX(tblCountyCalc[AP],MATCH($A31,tblCountyCalc[County],0)),"")</f>
        <v/>
      </c>
      <c r="D31">
        <f>IFERROR(INDEX(tblCountyCalc[CPF],MATCH($A31,tblCountyCalc[County],0)),"")</f>
        <v/>
      </c>
      <c r="E31">
        <f>IFERROR(INDEX(tblCountyCalc[P_ref],MATCH($A31,tblCountyCalc[County],0)),"")</f>
        <v/>
      </c>
      <c r="F31">
        <f>IFERROR(INDEX(tblCountyCalc[P_eff],MATCH($A31,tblCountyCalc[County],0)),"")</f>
        <v/>
      </c>
      <c r="G31">
        <f>IFERROR(INDEX(tblCountyCalc[FTE_on],MATCH($A31,tblCountyCalc[County],0)),"")</f>
        <v/>
      </c>
      <c r="H31">
        <f>IFERROR(INDEX(tblCountyCalc[Utilization],MATCH($A31,tblCountyCalc[County],0)),"")</f>
        <v/>
      </c>
      <c r="I31">
        <f>IFERROR(INDEX(tblCountyCalc[Backlog_Start],MATCH($A31,tblCountyCalc[County],0)),"")</f>
        <v/>
      </c>
      <c r="J31">
        <f>IFERROR(INDEX(tblCountyCalc[Backlog_End],MATCH($A31,tblCountyCalc[County],0)),"")</f>
        <v/>
      </c>
      <c r="K31">
        <f>IFERROR(INDEX(tblCountyCalc[FTE_required],MATCH($A31,tblCountyCalc[County],0)),"")</f>
        <v/>
      </c>
      <c r="L31">
        <f>IFERROR(INDEX(tblCountyCalc[Gap],MATCH($A31,tblCountyCalc[County],0)),"")</f>
        <v/>
      </c>
      <c r="M31">
        <f>IFERROR(INDEX(tblCountyCalc[RAG],MATCH($A31,tblCountyCalc[County],0)),"")</f>
        <v/>
      </c>
    </row>
    <row r="32">
      <c r="A32" t="inlineStr">
        <is>
          <t>Isanti</t>
        </is>
      </c>
      <c r="B32">
        <f>Inputs_State!$B$1</f>
        <v/>
      </c>
      <c r="C32">
        <f>IFERROR(INDEX(tblCountyCalc[AP],MATCH($A32,tblCountyCalc[County],0)),"")</f>
        <v/>
      </c>
      <c r="D32">
        <f>IFERROR(INDEX(tblCountyCalc[CPF],MATCH($A32,tblCountyCalc[County],0)),"")</f>
        <v/>
      </c>
      <c r="E32">
        <f>IFERROR(INDEX(tblCountyCalc[P_ref],MATCH($A32,tblCountyCalc[County],0)),"")</f>
        <v/>
      </c>
      <c r="F32">
        <f>IFERROR(INDEX(tblCountyCalc[P_eff],MATCH($A32,tblCountyCalc[County],0)),"")</f>
        <v/>
      </c>
      <c r="G32">
        <f>IFERROR(INDEX(tblCountyCalc[FTE_on],MATCH($A32,tblCountyCalc[County],0)),"")</f>
        <v/>
      </c>
      <c r="H32">
        <f>IFERROR(INDEX(tblCountyCalc[Utilization],MATCH($A32,tblCountyCalc[County],0)),"")</f>
        <v/>
      </c>
      <c r="I32">
        <f>IFERROR(INDEX(tblCountyCalc[Backlog_Start],MATCH($A32,tblCountyCalc[County],0)),"")</f>
        <v/>
      </c>
      <c r="J32">
        <f>IFERROR(INDEX(tblCountyCalc[Backlog_End],MATCH($A32,tblCountyCalc[County],0)),"")</f>
        <v/>
      </c>
      <c r="K32">
        <f>IFERROR(INDEX(tblCountyCalc[FTE_required],MATCH($A32,tblCountyCalc[County],0)),"")</f>
        <v/>
      </c>
      <c r="L32">
        <f>IFERROR(INDEX(tblCountyCalc[Gap],MATCH($A32,tblCountyCalc[County],0)),"")</f>
        <v/>
      </c>
      <c r="M32">
        <f>IFERROR(INDEX(tblCountyCalc[RAG],MATCH($A32,tblCountyCalc[County],0)),"")</f>
        <v/>
      </c>
    </row>
    <row r="33">
      <c r="A33" t="inlineStr">
        <is>
          <t>Itasca</t>
        </is>
      </c>
      <c r="B33">
        <f>Inputs_State!$B$1</f>
        <v/>
      </c>
      <c r="C33">
        <f>IFERROR(INDEX(tblCountyCalc[AP],MATCH($A33,tblCountyCalc[County],0)),"")</f>
        <v/>
      </c>
      <c r="D33">
        <f>IFERROR(INDEX(tblCountyCalc[CPF],MATCH($A33,tblCountyCalc[County],0)),"")</f>
        <v/>
      </c>
      <c r="E33">
        <f>IFERROR(INDEX(tblCountyCalc[P_ref],MATCH($A33,tblCountyCalc[County],0)),"")</f>
        <v/>
      </c>
      <c r="F33">
        <f>IFERROR(INDEX(tblCountyCalc[P_eff],MATCH($A33,tblCountyCalc[County],0)),"")</f>
        <v/>
      </c>
      <c r="G33">
        <f>IFERROR(INDEX(tblCountyCalc[FTE_on],MATCH($A33,tblCountyCalc[County],0)),"")</f>
        <v/>
      </c>
      <c r="H33">
        <f>IFERROR(INDEX(tblCountyCalc[Utilization],MATCH($A33,tblCountyCalc[County],0)),"")</f>
        <v/>
      </c>
      <c r="I33">
        <f>IFERROR(INDEX(tblCountyCalc[Backlog_Start],MATCH($A33,tblCountyCalc[County],0)),"")</f>
        <v/>
      </c>
      <c r="J33">
        <f>IFERROR(INDEX(tblCountyCalc[Backlog_End],MATCH($A33,tblCountyCalc[County],0)),"")</f>
        <v/>
      </c>
      <c r="K33">
        <f>IFERROR(INDEX(tblCountyCalc[FTE_required],MATCH($A33,tblCountyCalc[County],0)),"")</f>
        <v/>
      </c>
      <c r="L33">
        <f>IFERROR(INDEX(tblCountyCalc[Gap],MATCH($A33,tblCountyCalc[County],0)),"")</f>
        <v/>
      </c>
      <c r="M33">
        <f>IFERROR(INDEX(tblCountyCalc[RAG],MATCH($A33,tblCountyCalc[County],0)),"")</f>
        <v/>
      </c>
    </row>
    <row r="34">
      <c r="A34" t="inlineStr">
        <is>
          <t>Jackson</t>
        </is>
      </c>
      <c r="B34">
        <f>Inputs_State!$B$1</f>
        <v/>
      </c>
      <c r="C34">
        <f>IFERROR(INDEX(tblCountyCalc[AP],MATCH($A34,tblCountyCalc[County],0)),"")</f>
        <v/>
      </c>
      <c r="D34">
        <f>IFERROR(INDEX(tblCountyCalc[CPF],MATCH($A34,tblCountyCalc[County],0)),"")</f>
        <v/>
      </c>
      <c r="E34">
        <f>IFERROR(INDEX(tblCountyCalc[P_ref],MATCH($A34,tblCountyCalc[County],0)),"")</f>
        <v/>
      </c>
      <c r="F34">
        <f>IFERROR(INDEX(tblCountyCalc[P_eff],MATCH($A34,tblCountyCalc[County],0)),"")</f>
        <v/>
      </c>
      <c r="G34">
        <f>IFERROR(INDEX(tblCountyCalc[FTE_on],MATCH($A34,tblCountyCalc[County],0)),"")</f>
        <v/>
      </c>
      <c r="H34">
        <f>IFERROR(INDEX(tblCountyCalc[Utilization],MATCH($A34,tblCountyCalc[County],0)),"")</f>
        <v/>
      </c>
      <c r="I34">
        <f>IFERROR(INDEX(tblCountyCalc[Backlog_Start],MATCH($A34,tblCountyCalc[County],0)),"")</f>
        <v/>
      </c>
      <c r="J34">
        <f>IFERROR(INDEX(tblCountyCalc[Backlog_End],MATCH($A34,tblCountyCalc[County],0)),"")</f>
        <v/>
      </c>
      <c r="K34">
        <f>IFERROR(INDEX(tblCountyCalc[FTE_required],MATCH($A34,tblCountyCalc[County],0)),"")</f>
        <v/>
      </c>
      <c r="L34">
        <f>IFERROR(INDEX(tblCountyCalc[Gap],MATCH($A34,tblCountyCalc[County],0)),"")</f>
        <v/>
      </c>
      <c r="M34">
        <f>IFERROR(INDEX(tblCountyCalc[RAG],MATCH($A34,tblCountyCalc[County],0)),"")</f>
        <v/>
      </c>
    </row>
    <row r="35">
      <c r="A35" t="inlineStr">
        <is>
          <t>Kanabec</t>
        </is>
      </c>
      <c r="B35">
        <f>Inputs_State!$B$1</f>
        <v/>
      </c>
      <c r="C35">
        <f>IFERROR(INDEX(tblCountyCalc[AP],MATCH($A35,tblCountyCalc[County],0)),"")</f>
        <v/>
      </c>
      <c r="D35">
        <f>IFERROR(INDEX(tblCountyCalc[CPF],MATCH($A35,tblCountyCalc[County],0)),"")</f>
        <v/>
      </c>
      <c r="E35">
        <f>IFERROR(INDEX(tblCountyCalc[P_ref],MATCH($A35,tblCountyCalc[County],0)),"")</f>
        <v/>
      </c>
      <c r="F35">
        <f>IFERROR(INDEX(tblCountyCalc[P_eff],MATCH($A35,tblCountyCalc[County],0)),"")</f>
        <v/>
      </c>
      <c r="G35">
        <f>IFERROR(INDEX(tblCountyCalc[FTE_on],MATCH($A35,tblCountyCalc[County],0)),"")</f>
        <v/>
      </c>
      <c r="H35">
        <f>IFERROR(INDEX(tblCountyCalc[Utilization],MATCH($A35,tblCountyCalc[County],0)),"")</f>
        <v/>
      </c>
      <c r="I35">
        <f>IFERROR(INDEX(tblCountyCalc[Backlog_Start],MATCH($A35,tblCountyCalc[County],0)),"")</f>
        <v/>
      </c>
      <c r="J35">
        <f>IFERROR(INDEX(tblCountyCalc[Backlog_End],MATCH($A35,tblCountyCalc[County],0)),"")</f>
        <v/>
      </c>
      <c r="K35">
        <f>IFERROR(INDEX(tblCountyCalc[FTE_required],MATCH($A35,tblCountyCalc[County],0)),"")</f>
        <v/>
      </c>
      <c r="L35">
        <f>IFERROR(INDEX(tblCountyCalc[Gap],MATCH($A35,tblCountyCalc[County],0)),"")</f>
        <v/>
      </c>
      <c r="M35">
        <f>IFERROR(INDEX(tblCountyCalc[RAG],MATCH($A35,tblCountyCalc[County],0)),"")</f>
        <v/>
      </c>
    </row>
    <row r="36">
      <c r="A36" t="inlineStr">
        <is>
          <t>Kandiyohi</t>
        </is>
      </c>
      <c r="B36">
        <f>Inputs_State!$B$1</f>
        <v/>
      </c>
      <c r="C36">
        <f>IFERROR(INDEX(tblCountyCalc[AP],MATCH($A36,tblCountyCalc[County],0)),"")</f>
        <v/>
      </c>
      <c r="D36">
        <f>IFERROR(INDEX(tblCountyCalc[CPF],MATCH($A36,tblCountyCalc[County],0)),"")</f>
        <v/>
      </c>
      <c r="E36">
        <f>IFERROR(INDEX(tblCountyCalc[P_ref],MATCH($A36,tblCountyCalc[County],0)),"")</f>
        <v/>
      </c>
      <c r="F36">
        <f>IFERROR(INDEX(tblCountyCalc[P_eff],MATCH($A36,tblCountyCalc[County],0)),"")</f>
        <v/>
      </c>
      <c r="G36">
        <f>IFERROR(INDEX(tblCountyCalc[FTE_on],MATCH($A36,tblCountyCalc[County],0)),"")</f>
        <v/>
      </c>
      <c r="H36">
        <f>IFERROR(INDEX(tblCountyCalc[Utilization],MATCH($A36,tblCountyCalc[County],0)),"")</f>
        <v/>
      </c>
      <c r="I36">
        <f>IFERROR(INDEX(tblCountyCalc[Backlog_Start],MATCH($A36,tblCountyCalc[County],0)),"")</f>
        <v/>
      </c>
      <c r="J36">
        <f>IFERROR(INDEX(tblCountyCalc[Backlog_End],MATCH($A36,tblCountyCalc[County],0)),"")</f>
        <v/>
      </c>
      <c r="K36">
        <f>IFERROR(INDEX(tblCountyCalc[FTE_required],MATCH($A36,tblCountyCalc[County],0)),"")</f>
        <v/>
      </c>
      <c r="L36">
        <f>IFERROR(INDEX(tblCountyCalc[Gap],MATCH($A36,tblCountyCalc[County],0)),"")</f>
        <v/>
      </c>
      <c r="M36">
        <f>IFERROR(INDEX(tblCountyCalc[RAG],MATCH($A36,tblCountyCalc[County],0)),"")</f>
        <v/>
      </c>
    </row>
    <row r="37">
      <c r="A37" t="inlineStr">
        <is>
          <t>Kittson</t>
        </is>
      </c>
      <c r="B37">
        <f>Inputs_State!$B$1</f>
        <v/>
      </c>
      <c r="C37">
        <f>IFERROR(INDEX(tblCountyCalc[AP],MATCH($A37,tblCountyCalc[County],0)),"")</f>
        <v/>
      </c>
      <c r="D37">
        <f>IFERROR(INDEX(tblCountyCalc[CPF],MATCH($A37,tblCountyCalc[County],0)),"")</f>
        <v/>
      </c>
      <c r="E37">
        <f>IFERROR(INDEX(tblCountyCalc[P_ref],MATCH($A37,tblCountyCalc[County],0)),"")</f>
        <v/>
      </c>
      <c r="F37">
        <f>IFERROR(INDEX(tblCountyCalc[P_eff],MATCH($A37,tblCountyCalc[County],0)),"")</f>
        <v/>
      </c>
      <c r="G37">
        <f>IFERROR(INDEX(tblCountyCalc[FTE_on],MATCH($A37,tblCountyCalc[County],0)),"")</f>
        <v/>
      </c>
      <c r="H37">
        <f>IFERROR(INDEX(tblCountyCalc[Utilization],MATCH($A37,tblCountyCalc[County],0)),"")</f>
        <v/>
      </c>
      <c r="I37">
        <f>IFERROR(INDEX(tblCountyCalc[Backlog_Start],MATCH($A37,tblCountyCalc[County],0)),"")</f>
        <v/>
      </c>
      <c r="J37">
        <f>IFERROR(INDEX(tblCountyCalc[Backlog_End],MATCH($A37,tblCountyCalc[County],0)),"")</f>
        <v/>
      </c>
      <c r="K37">
        <f>IFERROR(INDEX(tblCountyCalc[FTE_required],MATCH($A37,tblCountyCalc[County],0)),"")</f>
        <v/>
      </c>
      <c r="L37">
        <f>IFERROR(INDEX(tblCountyCalc[Gap],MATCH($A37,tblCountyCalc[County],0)),"")</f>
        <v/>
      </c>
      <c r="M37">
        <f>IFERROR(INDEX(tblCountyCalc[RAG],MATCH($A37,tblCountyCalc[County],0)),"")</f>
        <v/>
      </c>
    </row>
    <row r="38">
      <c r="A38" t="inlineStr">
        <is>
          <t>Koochiching</t>
        </is>
      </c>
      <c r="B38">
        <f>Inputs_State!$B$1</f>
        <v/>
      </c>
      <c r="C38">
        <f>IFERROR(INDEX(tblCountyCalc[AP],MATCH($A38,tblCountyCalc[County],0)),"")</f>
        <v/>
      </c>
      <c r="D38">
        <f>IFERROR(INDEX(tblCountyCalc[CPF],MATCH($A38,tblCountyCalc[County],0)),"")</f>
        <v/>
      </c>
      <c r="E38">
        <f>IFERROR(INDEX(tblCountyCalc[P_ref],MATCH($A38,tblCountyCalc[County],0)),"")</f>
        <v/>
      </c>
      <c r="F38">
        <f>IFERROR(INDEX(tblCountyCalc[P_eff],MATCH($A38,tblCountyCalc[County],0)),"")</f>
        <v/>
      </c>
      <c r="G38">
        <f>IFERROR(INDEX(tblCountyCalc[FTE_on],MATCH($A38,tblCountyCalc[County],0)),"")</f>
        <v/>
      </c>
      <c r="H38">
        <f>IFERROR(INDEX(tblCountyCalc[Utilization],MATCH($A38,tblCountyCalc[County],0)),"")</f>
        <v/>
      </c>
      <c r="I38">
        <f>IFERROR(INDEX(tblCountyCalc[Backlog_Start],MATCH($A38,tblCountyCalc[County],0)),"")</f>
        <v/>
      </c>
      <c r="J38">
        <f>IFERROR(INDEX(tblCountyCalc[Backlog_End],MATCH($A38,tblCountyCalc[County],0)),"")</f>
        <v/>
      </c>
      <c r="K38">
        <f>IFERROR(INDEX(tblCountyCalc[FTE_required],MATCH($A38,tblCountyCalc[County],0)),"")</f>
        <v/>
      </c>
      <c r="L38">
        <f>IFERROR(INDEX(tblCountyCalc[Gap],MATCH($A38,tblCountyCalc[County],0)),"")</f>
        <v/>
      </c>
      <c r="M38">
        <f>IFERROR(INDEX(tblCountyCalc[RAG],MATCH($A38,tblCountyCalc[County],0)),"")</f>
        <v/>
      </c>
    </row>
    <row r="39">
      <c r="A39" t="inlineStr">
        <is>
          <t>Lac qui Parle</t>
        </is>
      </c>
      <c r="B39">
        <f>Inputs_State!$B$1</f>
        <v/>
      </c>
      <c r="C39">
        <f>IFERROR(INDEX(tblCountyCalc[AP],MATCH($A39,tblCountyCalc[County],0)),"")</f>
        <v/>
      </c>
      <c r="D39">
        <f>IFERROR(INDEX(tblCountyCalc[CPF],MATCH($A39,tblCountyCalc[County],0)),"")</f>
        <v/>
      </c>
      <c r="E39">
        <f>IFERROR(INDEX(tblCountyCalc[P_ref],MATCH($A39,tblCountyCalc[County],0)),"")</f>
        <v/>
      </c>
      <c r="F39">
        <f>IFERROR(INDEX(tblCountyCalc[P_eff],MATCH($A39,tblCountyCalc[County],0)),"")</f>
        <v/>
      </c>
      <c r="G39">
        <f>IFERROR(INDEX(tblCountyCalc[FTE_on],MATCH($A39,tblCountyCalc[County],0)),"")</f>
        <v/>
      </c>
      <c r="H39">
        <f>IFERROR(INDEX(tblCountyCalc[Utilization],MATCH($A39,tblCountyCalc[County],0)),"")</f>
        <v/>
      </c>
      <c r="I39">
        <f>IFERROR(INDEX(tblCountyCalc[Backlog_Start],MATCH($A39,tblCountyCalc[County],0)),"")</f>
        <v/>
      </c>
      <c r="J39">
        <f>IFERROR(INDEX(tblCountyCalc[Backlog_End],MATCH($A39,tblCountyCalc[County],0)),"")</f>
        <v/>
      </c>
      <c r="K39">
        <f>IFERROR(INDEX(tblCountyCalc[FTE_required],MATCH($A39,tblCountyCalc[County],0)),"")</f>
        <v/>
      </c>
      <c r="L39">
        <f>IFERROR(INDEX(tblCountyCalc[Gap],MATCH($A39,tblCountyCalc[County],0)),"")</f>
        <v/>
      </c>
      <c r="M39">
        <f>IFERROR(INDEX(tblCountyCalc[RAG],MATCH($A39,tblCountyCalc[County],0)),"")</f>
        <v/>
      </c>
    </row>
    <row r="40">
      <c r="A40" t="inlineStr">
        <is>
          <t>Lake</t>
        </is>
      </c>
      <c r="B40">
        <f>Inputs_State!$B$1</f>
        <v/>
      </c>
      <c r="C40">
        <f>IFERROR(INDEX(tblCountyCalc[AP],MATCH($A40,tblCountyCalc[County],0)),"")</f>
        <v/>
      </c>
      <c r="D40">
        <f>IFERROR(INDEX(tblCountyCalc[CPF],MATCH($A40,tblCountyCalc[County],0)),"")</f>
        <v/>
      </c>
      <c r="E40">
        <f>IFERROR(INDEX(tblCountyCalc[P_ref],MATCH($A40,tblCountyCalc[County],0)),"")</f>
        <v/>
      </c>
      <c r="F40">
        <f>IFERROR(INDEX(tblCountyCalc[P_eff],MATCH($A40,tblCountyCalc[County],0)),"")</f>
        <v/>
      </c>
      <c r="G40">
        <f>IFERROR(INDEX(tblCountyCalc[FTE_on],MATCH($A40,tblCountyCalc[County],0)),"")</f>
        <v/>
      </c>
      <c r="H40">
        <f>IFERROR(INDEX(tblCountyCalc[Utilization],MATCH($A40,tblCountyCalc[County],0)),"")</f>
        <v/>
      </c>
      <c r="I40">
        <f>IFERROR(INDEX(tblCountyCalc[Backlog_Start],MATCH($A40,tblCountyCalc[County],0)),"")</f>
        <v/>
      </c>
      <c r="J40">
        <f>IFERROR(INDEX(tblCountyCalc[Backlog_End],MATCH($A40,tblCountyCalc[County],0)),"")</f>
        <v/>
      </c>
      <c r="K40">
        <f>IFERROR(INDEX(tblCountyCalc[FTE_required],MATCH($A40,tblCountyCalc[County],0)),"")</f>
        <v/>
      </c>
      <c r="L40">
        <f>IFERROR(INDEX(tblCountyCalc[Gap],MATCH($A40,tblCountyCalc[County],0)),"")</f>
        <v/>
      </c>
      <c r="M40">
        <f>IFERROR(INDEX(tblCountyCalc[RAG],MATCH($A40,tblCountyCalc[County],0)),"")</f>
        <v/>
      </c>
    </row>
    <row r="41">
      <c r="A41" t="inlineStr">
        <is>
          <t>Lake of the Woods</t>
        </is>
      </c>
      <c r="B41">
        <f>Inputs_State!$B$1</f>
        <v/>
      </c>
      <c r="C41">
        <f>IFERROR(INDEX(tblCountyCalc[AP],MATCH($A41,tblCountyCalc[County],0)),"")</f>
        <v/>
      </c>
      <c r="D41">
        <f>IFERROR(INDEX(tblCountyCalc[CPF],MATCH($A41,tblCountyCalc[County],0)),"")</f>
        <v/>
      </c>
      <c r="E41">
        <f>IFERROR(INDEX(tblCountyCalc[P_ref],MATCH($A41,tblCountyCalc[County],0)),"")</f>
        <v/>
      </c>
      <c r="F41">
        <f>IFERROR(INDEX(tblCountyCalc[P_eff],MATCH($A41,tblCountyCalc[County],0)),"")</f>
        <v/>
      </c>
      <c r="G41">
        <f>IFERROR(INDEX(tblCountyCalc[FTE_on],MATCH($A41,tblCountyCalc[County],0)),"")</f>
        <v/>
      </c>
      <c r="H41">
        <f>IFERROR(INDEX(tblCountyCalc[Utilization],MATCH($A41,tblCountyCalc[County],0)),"")</f>
        <v/>
      </c>
      <c r="I41">
        <f>IFERROR(INDEX(tblCountyCalc[Backlog_Start],MATCH($A41,tblCountyCalc[County],0)),"")</f>
        <v/>
      </c>
      <c r="J41">
        <f>IFERROR(INDEX(tblCountyCalc[Backlog_End],MATCH($A41,tblCountyCalc[County],0)),"")</f>
        <v/>
      </c>
      <c r="K41">
        <f>IFERROR(INDEX(tblCountyCalc[FTE_required],MATCH($A41,tblCountyCalc[County],0)),"")</f>
        <v/>
      </c>
      <c r="L41">
        <f>IFERROR(INDEX(tblCountyCalc[Gap],MATCH($A41,tblCountyCalc[County],0)),"")</f>
        <v/>
      </c>
      <c r="M41">
        <f>IFERROR(INDEX(tblCountyCalc[RAG],MATCH($A41,tblCountyCalc[County],0)),"")</f>
        <v/>
      </c>
    </row>
    <row r="42">
      <c r="A42" t="inlineStr">
        <is>
          <t>Le Sueur</t>
        </is>
      </c>
      <c r="B42">
        <f>Inputs_State!$B$1</f>
        <v/>
      </c>
      <c r="C42">
        <f>IFERROR(INDEX(tblCountyCalc[AP],MATCH($A42,tblCountyCalc[County],0)),"")</f>
        <v/>
      </c>
      <c r="D42">
        <f>IFERROR(INDEX(tblCountyCalc[CPF],MATCH($A42,tblCountyCalc[County],0)),"")</f>
        <v/>
      </c>
      <c r="E42">
        <f>IFERROR(INDEX(tblCountyCalc[P_ref],MATCH($A42,tblCountyCalc[County],0)),"")</f>
        <v/>
      </c>
      <c r="F42">
        <f>IFERROR(INDEX(tblCountyCalc[P_eff],MATCH($A42,tblCountyCalc[County],0)),"")</f>
        <v/>
      </c>
      <c r="G42">
        <f>IFERROR(INDEX(tblCountyCalc[FTE_on],MATCH($A42,tblCountyCalc[County],0)),"")</f>
        <v/>
      </c>
      <c r="H42">
        <f>IFERROR(INDEX(tblCountyCalc[Utilization],MATCH($A42,tblCountyCalc[County],0)),"")</f>
        <v/>
      </c>
      <c r="I42">
        <f>IFERROR(INDEX(tblCountyCalc[Backlog_Start],MATCH($A42,tblCountyCalc[County],0)),"")</f>
        <v/>
      </c>
      <c r="J42">
        <f>IFERROR(INDEX(tblCountyCalc[Backlog_End],MATCH($A42,tblCountyCalc[County],0)),"")</f>
        <v/>
      </c>
      <c r="K42">
        <f>IFERROR(INDEX(tblCountyCalc[FTE_required],MATCH($A42,tblCountyCalc[County],0)),"")</f>
        <v/>
      </c>
      <c r="L42">
        <f>IFERROR(INDEX(tblCountyCalc[Gap],MATCH($A42,tblCountyCalc[County],0)),"")</f>
        <v/>
      </c>
      <c r="M42">
        <f>IFERROR(INDEX(tblCountyCalc[RAG],MATCH($A42,tblCountyCalc[County],0)),"")</f>
        <v/>
      </c>
    </row>
    <row r="43">
      <c r="A43" t="inlineStr">
        <is>
          <t>Lincoln</t>
        </is>
      </c>
      <c r="B43">
        <f>Inputs_State!$B$1</f>
        <v/>
      </c>
      <c r="C43">
        <f>IFERROR(INDEX(tblCountyCalc[AP],MATCH($A43,tblCountyCalc[County],0)),"")</f>
        <v/>
      </c>
      <c r="D43">
        <f>IFERROR(INDEX(tblCountyCalc[CPF],MATCH($A43,tblCountyCalc[County],0)),"")</f>
        <v/>
      </c>
      <c r="E43">
        <f>IFERROR(INDEX(tblCountyCalc[P_ref],MATCH($A43,tblCountyCalc[County],0)),"")</f>
        <v/>
      </c>
      <c r="F43">
        <f>IFERROR(INDEX(tblCountyCalc[P_eff],MATCH($A43,tblCountyCalc[County],0)),"")</f>
        <v/>
      </c>
      <c r="G43">
        <f>IFERROR(INDEX(tblCountyCalc[FTE_on],MATCH($A43,tblCountyCalc[County],0)),"")</f>
        <v/>
      </c>
      <c r="H43">
        <f>IFERROR(INDEX(tblCountyCalc[Utilization],MATCH($A43,tblCountyCalc[County],0)),"")</f>
        <v/>
      </c>
      <c r="I43">
        <f>IFERROR(INDEX(tblCountyCalc[Backlog_Start],MATCH($A43,tblCountyCalc[County],0)),"")</f>
        <v/>
      </c>
      <c r="J43">
        <f>IFERROR(INDEX(tblCountyCalc[Backlog_End],MATCH($A43,tblCountyCalc[County],0)),"")</f>
        <v/>
      </c>
      <c r="K43">
        <f>IFERROR(INDEX(tblCountyCalc[FTE_required],MATCH($A43,tblCountyCalc[County],0)),"")</f>
        <v/>
      </c>
      <c r="L43">
        <f>IFERROR(INDEX(tblCountyCalc[Gap],MATCH($A43,tblCountyCalc[County],0)),"")</f>
        <v/>
      </c>
      <c r="M43">
        <f>IFERROR(INDEX(tblCountyCalc[RAG],MATCH($A43,tblCountyCalc[County],0)),"")</f>
        <v/>
      </c>
    </row>
    <row r="44">
      <c r="A44" t="inlineStr">
        <is>
          <t>Lyon</t>
        </is>
      </c>
      <c r="B44">
        <f>Inputs_State!$B$1</f>
        <v/>
      </c>
      <c r="C44">
        <f>IFERROR(INDEX(tblCountyCalc[AP],MATCH($A44,tblCountyCalc[County],0)),"")</f>
        <v/>
      </c>
      <c r="D44">
        <f>IFERROR(INDEX(tblCountyCalc[CPF],MATCH($A44,tblCountyCalc[County],0)),"")</f>
        <v/>
      </c>
      <c r="E44">
        <f>IFERROR(INDEX(tblCountyCalc[P_ref],MATCH($A44,tblCountyCalc[County],0)),"")</f>
        <v/>
      </c>
      <c r="F44">
        <f>IFERROR(INDEX(tblCountyCalc[P_eff],MATCH($A44,tblCountyCalc[County],0)),"")</f>
        <v/>
      </c>
      <c r="G44">
        <f>IFERROR(INDEX(tblCountyCalc[FTE_on],MATCH($A44,tblCountyCalc[County],0)),"")</f>
        <v/>
      </c>
      <c r="H44">
        <f>IFERROR(INDEX(tblCountyCalc[Utilization],MATCH($A44,tblCountyCalc[County],0)),"")</f>
        <v/>
      </c>
      <c r="I44">
        <f>IFERROR(INDEX(tblCountyCalc[Backlog_Start],MATCH($A44,tblCountyCalc[County],0)),"")</f>
        <v/>
      </c>
      <c r="J44">
        <f>IFERROR(INDEX(tblCountyCalc[Backlog_End],MATCH($A44,tblCountyCalc[County],0)),"")</f>
        <v/>
      </c>
      <c r="K44">
        <f>IFERROR(INDEX(tblCountyCalc[FTE_required],MATCH($A44,tblCountyCalc[County],0)),"")</f>
        <v/>
      </c>
      <c r="L44">
        <f>IFERROR(INDEX(tblCountyCalc[Gap],MATCH($A44,tblCountyCalc[County],0)),"")</f>
        <v/>
      </c>
      <c r="M44">
        <f>IFERROR(INDEX(tblCountyCalc[RAG],MATCH($A44,tblCountyCalc[County],0)),"")</f>
        <v/>
      </c>
    </row>
    <row r="45">
      <c r="A45" t="inlineStr">
        <is>
          <t>McLeod</t>
        </is>
      </c>
      <c r="B45">
        <f>Inputs_State!$B$1</f>
        <v/>
      </c>
      <c r="C45">
        <f>IFERROR(INDEX(tblCountyCalc[AP],MATCH($A45,tblCountyCalc[County],0)),"")</f>
        <v/>
      </c>
      <c r="D45">
        <f>IFERROR(INDEX(tblCountyCalc[CPF],MATCH($A45,tblCountyCalc[County],0)),"")</f>
        <v/>
      </c>
      <c r="E45">
        <f>IFERROR(INDEX(tblCountyCalc[P_ref],MATCH($A45,tblCountyCalc[County],0)),"")</f>
        <v/>
      </c>
      <c r="F45">
        <f>IFERROR(INDEX(tblCountyCalc[P_eff],MATCH($A45,tblCountyCalc[County],0)),"")</f>
        <v/>
      </c>
      <c r="G45">
        <f>IFERROR(INDEX(tblCountyCalc[FTE_on],MATCH($A45,tblCountyCalc[County],0)),"")</f>
        <v/>
      </c>
      <c r="H45">
        <f>IFERROR(INDEX(tblCountyCalc[Utilization],MATCH($A45,tblCountyCalc[County],0)),"")</f>
        <v/>
      </c>
      <c r="I45">
        <f>IFERROR(INDEX(tblCountyCalc[Backlog_Start],MATCH($A45,tblCountyCalc[County],0)),"")</f>
        <v/>
      </c>
      <c r="J45">
        <f>IFERROR(INDEX(tblCountyCalc[Backlog_End],MATCH($A45,tblCountyCalc[County],0)),"")</f>
        <v/>
      </c>
      <c r="K45">
        <f>IFERROR(INDEX(tblCountyCalc[FTE_required],MATCH($A45,tblCountyCalc[County],0)),"")</f>
        <v/>
      </c>
      <c r="L45">
        <f>IFERROR(INDEX(tblCountyCalc[Gap],MATCH($A45,tblCountyCalc[County],0)),"")</f>
        <v/>
      </c>
      <c r="M45">
        <f>IFERROR(INDEX(tblCountyCalc[RAG],MATCH($A45,tblCountyCalc[County],0)),"")</f>
        <v/>
      </c>
    </row>
    <row r="46">
      <c r="A46" t="inlineStr">
        <is>
          <t>Mahnomen</t>
        </is>
      </c>
      <c r="B46">
        <f>Inputs_State!$B$1</f>
        <v/>
      </c>
      <c r="C46">
        <f>IFERROR(INDEX(tblCountyCalc[AP],MATCH($A46,tblCountyCalc[County],0)),"")</f>
        <v/>
      </c>
      <c r="D46">
        <f>IFERROR(INDEX(tblCountyCalc[CPF],MATCH($A46,tblCountyCalc[County],0)),"")</f>
        <v/>
      </c>
      <c r="E46">
        <f>IFERROR(INDEX(tblCountyCalc[P_ref],MATCH($A46,tblCountyCalc[County],0)),"")</f>
        <v/>
      </c>
      <c r="F46">
        <f>IFERROR(INDEX(tblCountyCalc[P_eff],MATCH($A46,tblCountyCalc[County],0)),"")</f>
        <v/>
      </c>
      <c r="G46">
        <f>IFERROR(INDEX(tblCountyCalc[FTE_on],MATCH($A46,tblCountyCalc[County],0)),"")</f>
        <v/>
      </c>
      <c r="H46">
        <f>IFERROR(INDEX(tblCountyCalc[Utilization],MATCH($A46,tblCountyCalc[County],0)),"")</f>
        <v/>
      </c>
      <c r="I46">
        <f>IFERROR(INDEX(tblCountyCalc[Backlog_Start],MATCH($A46,tblCountyCalc[County],0)),"")</f>
        <v/>
      </c>
      <c r="J46">
        <f>IFERROR(INDEX(tblCountyCalc[Backlog_End],MATCH($A46,tblCountyCalc[County],0)),"")</f>
        <v/>
      </c>
      <c r="K46">
        <f>IFERROR(INDEX(tblCountyCalc[FTE_required],MATCH($A46,tblCountyCalc[County],0)),"")</f>
        <v/>
      </c>
      <c r="L46">
        <f>IFERROR(INDEX(tblCountyCalc[Gap],MATCH($A46,tblCountyCalc[County],0)),"")</f>
        <v/>
      </c>
      <c r="M46">
        <f>IFERROR(INDEX(tblCountyCalc[RAG],MATCH($A46,tblCountyCalc[County],0)),"")</f>
        <v/>
      </c>
    </row>
    <row r="47">
      <c r="A47" t="inlineStr">
        <is>
          <t>Marshall</t>
        </is>
      </c>
      <c r="B47">
        <f>Inputs_State!$B$1</f>
        <v/>
      </c>
      <c r="C47">
        <f>IFERROR(INDEX(tblCountyCalc[AP],MATCH($A47,tblCountyCalc[County],0)),"")</f>
        <v/>
      </c>
      <c r="D47">
        <f>IFERROR(INDEX(tblCountyCalc[CPF],MATCH($A47,tblCountyCalc[County],0)),"")</f>
        <v/>
      </c>
      <c r="E47">
        <f>IFERROR(INDEX(tblCountyCalc[P_ref],MATCH($A47,tblCountyCalc[County],0)),"")</f>
        <v/>
      </c>
      <c r="F47">
        <f>IFERROR(INDEX(tblCountyCalc[P_eff],MATCH($A47,tblCountyCalc[County],0)),"")</f>
        <v/>
      </c>
      <c r="G47">
        <f>IFERROR(INDEX(tblCountyCalc[FTE_on],MATCH($A47,tblCountyCalc[County],0)),"")</f>
        <v/>
      </c>
      <c r="H47">
        <f>IFERROR(INDEX(tblCountyCalc[Utilization],MATCH($A47,tblCountyCalc[County],0)),"")</f>
        <v/>
      </c>
      <c r="I47">
        <f>IFERROR(INDEX(tblCountyCalc[Backlog_Start],MATCH($A47,tblCountyCalc[County],0)),"")</f>
        <v/>
      </c>
      <c r="J47">
        <f>IFERROR(INDEX(tblCountyCalc[Backlog_End],MATCH($A47,tblCountyCalc[County],0)),"")</f>
        <v/>
      </c>
      <c r="K47">
        <f>IFERROR(INDEX(tblCountyCalc[FTE_required],MATCH($A47,tblCountyCalc[County],0)),"")</f>
        <v/>
      </c>
      <c r="L47">
        <f>IFERROR(INDEX(tblCountyCalc[Gap],MATCH($A47,tblCountyCalc[County],0)),"")</f>
        <v/>
      </c>
      <c r="M47">
        <f>IFERROR(INDEX(tblCountyCalc[RAG],MATCH($A47,tblCountyCalc[County],0)),"")</f>
        <v/>
      </c>
    </row>
    <row r="48">
      <c r="A48" t="inlineStr">
        <is>
          <t>Martin</t>
        </is>
      </c>
      <c r="B48">
        <f>Inputs_State!$B$1</f>
        <v/>
      </c>
      <c r="C48">
        <f>IFERROR(INDEX(tblCountyCalc[AP],MATCH($A48,tblCountyCalc[County],0)),"")</f>
        <v/>
      </c>
      <c r="D48">
        <f>IFERROR(INDEX(tblCountyCalc[CPF],MATCH($A48,tblCountyCalc[County],0)),"")</f>
        <v/>
      </c>
      <c r="E48">
        <f>IFERROR(INDEX(tblCountyCalc[P_ref],MATCH($A48,tblCountyCalc[County],0)),"")</f>
        <v/>
      </c>
      <c r="F48">
        <f>IFERROR(INDEX(tblCountyCalc[P_eff],MATCH($A48,tblCountyCalc[County],0)),"")</f>
        <v/>
      </c>
      <c r="G48">
        <f>IFERROR(INDEX(tblCountyCalc[FTE_on],MATCH($A48,tblCountyCalc[County],0)),"")</f>
        <v/>
      </c>
      <c r="H48">
        <f>IFERROR(INDEX(tblCountyCalc[Utilization],MATCH($A48,tblCountyCalc[County],0)),"")</f>
        <v/>
      </c>
      <c r="I48">
        <f>IFERROR(INDEX(tblCountyCalc[Backlog_Start],MATCH($A48,tblCountyCalc[County],0)),"")</f>
        <v/>
      </c>
      <c r="J48">
        <f>IFERROR(INDEX(tblCountyCalc[Backlog_End],MATCH($A48,tblCountyCalc[County],0)),"")</f>
        <v/>
      </c>
      <c r="K48">
        <f>IFERROR(INDEX(tblCountyCalc[FTE_required],MATCH($A48,tblCountyCalc[County],0)),"")</f>
        <v/>
      </c>
      <c r="L48">
        <f>IFERROR(INDEX(tblCountyCalc[Gap],MATCH($A48,tblCountyCalc[County],0)),"")</f>
        <v/>
      </c>
      <c r="M48">
        <f>IFERROR(INDEX(tblCountyCalc[RAG],MATCH($A48,tblCountyCalc[County],0)),"")</f>
        <v/>
      </c>
    </row>
    <row r="49">
      <c r="A49" t="inlineStr">
        <is>
          <t>Meeker</t>
        </is>
      </c>
      <c r="B49">
        <f>Inputs_State!$B$1</f>
        <v/>
      </c>
      <c r="C49">
        <f>IFERROR(INDEX(tblCountyCalc[AP],MATCH($A49,tblCountyCalc[County],0)),"")</f>
        <v/>
      </c>
      <c r="D49">
        <f>IFERROR(INDEX(tblCountyCalc[CPF],MATCH($A49,tblCountyCalc[County],0)),"")</f>
        <v/>
      </c>
      <c r="E49">
        <f>IFERROR(INDEX(tblCountyCalc[P_ref],MATCH($A49,tblCountyCalc[County],0)),"")</f>
        <v/>
      </c>
      <c r="F49">
        <f>IFERROR(INDEX(tblCountyCalc[P_eff],MATCH($A49,tblCountyCalc[County],0)),"")</f>
        <v/>
      </c>
      <c r="G49">
        <f>IFERROR(INDEX(tblCountyCalc[FTE_on],MATCH($A49,tblCountyCalc[County],0)),"")</f>
        <v/>
      </c>
      <c r="H49">
        <f>IFERROR(INDEX(tblCountyCalc[Utilization],MATCH($A49,tblCountyCalc[County],0)),"")</f>
        <v/>
      </c>
      <c r="I49">
        <f>IFERROR(INDEX(tblCountyCalc[Backlog_Start],MATCH($A49,tblCountyCalc[County],0)),"")</f>
        <v/>
      </c>
      <c r="J49">
        <f>IFERROR(INDEX(tblCountyCalc[Backlog_End],MATCH($A49,tblCountyCalc[County],0)),"")</f>
        <v/>
      </c>
      <c r="K49">
        <f>IFERROR(INDEX(tblCountyCalc[FTE_required],MATCH($A49,tblCountyCalc[County],0)),"")</f>
        <v/>
      </c>
      <c r="L49">
        <f>IFERROR(INDEX(tblCountyCalc[Gap],MATCH($A49,tblCountyCalc[County],0)),"")</f>
        <v/>
      </c>
      <c r="M49">
        <f>IFERROR(INDEX(tblCountyCalc[RAG],MATCH($A49,tblCountyCalc[County],0)),"")</f>
        <v/>
      </c>
    </row>
    <row r="50">
      <c r="A50" t="inlineStr">
        <is>
          <t>Mille Lacs</t>
        </is>
      </c>
      <c r="B50">
        <f>Inputs_State!$B$1</f>
        <v/>
      </c>
      <c r="C50">
        <f>IFERROR(INDEX(tblCountyCalc[AP],MATCH($A50,tblCountyCalc[County],0)),"")</f>
        <v/>
      </c>
      <c r="D50">
        <f>IFERROR(INDEX(tblCountyCalc[CPF],MATCH($A50,tblCountyCalc[County],0)),"")</f>
        <v/>
      </c>
      <c r="E50">
        <f>IFERROR(INDEX(tblCountyCalc[P_ref],MATCH($A50,tblCountyCalc[County],0)),"")</f>
        <v/>
      </c>
      <c r="F50">
        <f>IFERROR(INDEX(tblCountyCalc[P_eff],MATCH($A50,tblCountyCalc[County],0)),"")</f>
        <v/>
      </c>
      <c r="G50">
        <f>IFERROR(INDEX(tblCountyCalc[FTE_on],MATCH($A50,tblCountyCalc[County],0)),"")</f>
        <v/>
      </c>
      <c r="H50">
        <f>IFERROR(INDEX(tblCountyCalc[Utilization],MATCH($A50,tblCountyCalc[County],0)),"")</f>
        <v/>
      </c>
      <c r="I50">
        <f>IFERROR(INDEX(tblCountyCalc[Backlog_Start],MATCH($A50,tblCountyCalc[County],0)),"")</f>
        <v/>
      </c>
      <c r="J50">
        <f>IFERROR(INDEX(tblCountyCalc[Backlog_End],MATCH($A50,tblCountyCalc[County],0)),"")</f>
        <v/>
      </c>
      <c r="K50">
        <f>IFERROR(INDEX(tblCountyCalc[FTE_required],MATCH($A50,tblCountyCalc[County],0)),"")</f>
        <v/>
      </c>
      <c r="L50">
        <f>IFERROR(INDEX(tblCountyCalc[Gap],MATCH($A50,tblCountyCalc[County],0)),"")</f>
        <v/>
      </c>
      <c r="M50">
        <f>IFERROR(INDEX(tblCountyCalc[RAG],MATCH($A50,tblCountyCalc[County],0)),"")</f>
        <v/>
      </c>
    </row>
    <row r="51">
      <c r="A51" t="inlineStr">
        <is>
          <t>Morrison</t>
        </is>
      </c>
      <c r="B51">
        <f>Inputs_State!$B$1</f>
        <v/>
      </c>
      <c r="C51">
        <f>IFERROR(INDEX(tblCountyCalc[AP],MATCH($A51,tblCountyCalc[County],0)),"")</f>
        <v/>
      </c>
      <c r="D51">
        <f>IFERROR(INDEX(tblCountyCalc[CPF],MATCH($A51,tblCountyCalc[County],0)),"")</f>
        <v/>
      </c>
      <c r="E51">
        <f>IFERROR(INDEX(tblCountyCalc[P_ref],MATCH($A51,tblCountyCalc[County],0)),"")</f>
        <v/>
      </c>
      <c r="F51">
        <f>IFERROR(INDEX(tblCountyCalc[P_eff],MATCH($A51,tblCountyCalc[County],0)),"")</f>
        <v/>
      </c>
      <c r="G51">
        <f>IFERROR(INDEX(tblCountyCalc[FTE_on],MATCH($A51,tblCountyCalc[County],0)),"")</f>
        <v/>
      </c>
      <c r="H51">
        <f>IFERROR(INDEX(tblCountyCalc[Utilization],MATCH($A51,tblCountyCalc[County],0)),"")</f>
        <v/>
      </c>
      <c r="I51">
        <f>IFERROR(INDEX(tblCountyCalc[Backlog_Start],MATCH($A51,tblCountyCalc[County],0)),"")</f>
        <v/>
      </c>
      <c r="J51">
        <f>IFERROR(INDEX(tblCountyCalc[Backlog_End],MATCH($A51,tblCountyCalc[County],0)),"")</f>
        <v/>
      </c>
      <c r="K51">
        <f>IFERROR(INDEX(tblCountyCalc[FTE_required],MATCH($A51,tblCountyCalc[County],0)),"")</f>
        <v/>
      </c>
      <c r="L51">
        <f>IFERROR(INDEX(tblCountyCalc[Gap],MATCH($A51,tblCountyCalc[County],0)),"")</f>
        <v/>
      </c>
      <c r="M51">
        <f>IFERROR(INDEX(tblCountyCalc[RAG],MATCH($A51,tblCountyCalc[County],0)),"")</f>
        <v/>
      </c>
    </row>
    <row r="52">
      <c r="A52" t="inlineStr">
        <is>
          <t>Mower</t>
        </is>
      </c>
      <c r="B52">
        <f>Inputs_State!$B$1</f>
        <v/>
      </c>
      <c r="C52">
        <f>IFERROR(INDEX(tblCountyCalc[AP],MATCH($A52,tblCountyCalc[County],0)),"")</f>
        <v/>
      </c>
      <c r="D52">
        <f>IFERROR(INDEX(tblCountyCalc[CPF],MATCH($A52,tblCountyCalc[County],0)),"")</f>
        <v/>
      </c>
      <c r="E52">
        <f>IFERROR(INDEX(tblCountyCalc[P_ref],MATCH($A52,tblCountyCalc[County],0)),"")</f>
        <v/>
      </c>
      <c r="F52">
        <f>IFERROR(INDEX(tblCountyCalc[P_eff],MATCH($A52,tblCountyCalc[County],0)),"")</f>
        <v/>
      </c>
      <c r="G52">
        <f>IFERROR(INDEX(tblCountyCalc[FTE_on],MATCH($A52,tblCountyCalc[County],0)),"")</f>
        <v/>
      </c>
      <c r="H52">
        <f>IFERROR(INDEX(tblCountyCalc[Utilization],MATCH($A52,tblCountyCalc[County],0)),"")</f>
        <v/>
      </c>
      <c r="I52">
        <f>IFERROR(INDEX(tblCountyCalc[Backlog_Start],MATCH($A52,tblCountyCalc[County],0)),"")</f>
        <v/>
      </c>
      <c r="J52">
        <f>IFERROR(INDEX(tblCountyCalc[Backlog_End],MATCH($A52,tblCountyCalc[County],0)),"")</f>
        <v/>
      </c>
      <c r="K52">
        <f>IFERROR(INDEX(tblCountyCalc[FTE_required],MATCH($A52,tblCountyCalc[County],0)),"")</f>
        <v/>
      </c>
      <c r="L52">
        <f>IFERROR(INDEX(tblCountyCalc[Gap],MATCH($A52,tblCountyCalc[County],0)),"")</f>
        <v/>
      </c>
      <c r="M52">
        <f>IFERROR(INDEX(tblCountyCalc[RAG],MATCH($A52,tblCountyCalc[County],0)),"")</f>
        <v/>
      </c>
    </row>
    <row r="53">
      <c r="A53" t="inlineStr">
        <is>
          <t>Murray</t>
        </is>
      </c>
      <c r="B53">
        <f>Inputs_State!$B$1</f>
        <v/>
      </c>
      <c r="C53">
        <f>IFERROR(INDEX(tblCountyCalc[AP],MATCH($A53,tblCountyCalc[County],0)),"")</f>
        <v/>
      </c>
      <c r="D53">
        <f>IFERROR(INDEX(tblCountyCalc[CPF],MATCH($A53,tblCountyCalc[County],0)),"")</f>
        <v/>
      </c>
      <c r="E53">
        <f>IFERROR(INDEX(tblCountyCalc[P_ref],MATCH($A53,tblCountyCalc[County],0)),"")</f>
        <v/>
      </c>
      <c r="F53">
        <f>IFERROR(INDEX(tblCountyCalc[P_eff],MATCH($A53,tblCountyCalc[County],0)),"")</f>
        <v/>
      </c>
      <c r="G53">
        <f>IFERROR(INDEX(tblCountyCalc[FTE_on],MATCH($A53,tblCountyCalc[County],0)),"")</f>
        <v/>
      </c>
      <c r="H53">
        <f>IFERROR(INDEX(tblCountyCalc[Utilization],MATCH($A53,tblCountyCalc[County],0)),"")</f>
        <v/>
      </c>
      <c r="I53">
        <f>IFERROR(INDEX(tblCountyCalc[Backlog_Start],MATCH($A53,tblCountyCalc[County],0)),"")</f>
        <v/>
      </c>
      <c r="J53">
        <f>IFERROR(INDEX(tblCountyCalc[Backlog_End],MATCH($A53,tblCountyCalc[County],0)),"")</f>
        <v/>
      </c>
      <c r="K53">
        <f>IFERROR(INDEX(tblCountyCalc[FTE_required],MATCH($A53,tblCountyCalc[County],0)),"")</f>
        <v/>
      </c>
      <c r="L53">
        <f>IFERROR(INDEX(tblCountyCalc[Gap],MATCH($A53,tblCountyCalc[County],0)),"")</f>
        <v/>
      </c>
      <c r="M53">
        <f>IFERROR(INDEX(tblCountyCalc[RAG],MATCH($A53,tblCountyCalc[County],0)),"")</f>
        <v/>
      </c>
    </row>
    <row r="54">
      <c r="A54" t="inlineStr">
        <is>
          <t>Nicollet</t>
        </is>
      </c>
      <c r="B54">
        <f>Inputs_State!$B$1</f>
        <v/>
      </c>
      <c r="C54">
        <f>IFERROR(INDEX(tblCountyCalc[AP],MATCH($A54,tblCountyCalc[County],0)),"")</f>
        <v/>
      </c>
      <c r="D54">
        <f>IFERROR(INDEX(tblCountyCalc[CPF],MATCH($A54,tblCountyCalc[County],0)),"")</f>
        <v/>
      </c>
      <c r="E54">
        <f>IFERROR(INDEX(tblCountyCalc[P_ref],MATCH($A54,tblCountyCalc[County],0)),"")</f>
        <v/>
      </c>
      <c r="F54">
        <f>IFERROR(INDEX(tblCountyCalc[P_eff],MATCH($A54,tblCountyCalc[County],0)),"")</f>
        <v/>
      </c>
      <c r="G54">
        <f>IFERROR(INDEX(tblCountyCalc[FTE_on],MATCH($A54,tblCountyCalc[County],0)),"")</f>
        <v/>
      </c>
      <c r="H54">
        <f>IFERROR(INDEX(tblCountyCalc[Utilization],MATCH($A54,tblCountyCalc[County],0)),"")</f>
        <v/>
      </c>
      <c r="I54">
        <f>IFERROR(INDEX(tblCountyCalc[Backlog_Start],MATCH($A54,tblCountyCalc[County],0)),"")</f>
        <v/>
      </c>
      <c r="J54">
        <f>IFERROR(INDEX(tblCountyCalc[Backlog_End],MATCH($A54,tblCountyCalc[County],0)),"")</f>
        <v/>
      </c>
      <c r="K54">
        <f>IFERROR(INDEX(tblCountyCalc[FTE_required],MATCH($A54,tblCountyCalc[County],0)),"")</f>
        <v/>
      </c>
      <c r="L54">
        <f>IFERROR(INDEX(tblCountyCalc[Gap],MATCH($A54,tblCountyCalc[County],0)),"")</f>
        <v/>
      </c>
      <c r="M54">
        <f>IFERROR(INDEX(tblCountyCalc[RAG],MATCH($A54,tblCountyCalc[County],0)),"")</f>
        <v/>
      </c>
    </row>
    <row r="55">
      <c r="A55" t="inlineStr">
        <is>
          <t>Nobles</t>
        </is>
      </c>
      <c r="B55">
        <f>Inputs_State!$B$1</f>
        <v/>
      </c>
      <c r="C55">
        <f>IFERROR(INDEX(tblCountyCalc[AP],MATCH($A55,tblCountyCalc[County],0)),"")</f>
        <v/>
      </c>
      <c r="D55">
        <f>IFERROR(INDEX(tblCountyCalc[CPF],MATCH($A55,tblCountyCalc[County],0)),"")</f>
        <v/>
      </c>
      <c r="E55">
        <f>IFERROR(INDEX(tblCountyCalc[P_ref],MATCH($A55,tblCountyCalc[County],0)),"")</f>
        <v/>
      </c>
      <c r="F55">
        <f>IFERROR(INDEX(tblCountyCalc[P_eff],MATCH($A55,tblCountyCalc[County],0)),"")</f>
        <v/>
      </c>
      <c r="G55">
        <f>IFERROR(INDEX(tblCountyCalc[FTE_on],MATCH($A55,tblCountyCalc[County],0)),"")</f>
        <v/>
      </c>
      <c r="H55">
        <f>IFERROR(INDEX(tblCountyCalc[Utilization],MATCH($A55,tblCountyCalc[County],0)),"")</f>
        <v/>
      </c>
      <c r="I55">
        <f>IFERROR(INDEX(tblCountyCalc[Backlog_Start],MATCH($A55,tblCountyCalc[County],0)),"")</f>
        <v/>
      </c>
      <c r="J55">
        <f>IFERROR(INDEX(tblCountyCalc[Backlog_End],MATCH($A55,tblCountyCalc[County],0)),"")</f>
        <v/>
      </c>
      <c r="K55">
        <f>IFERROR(INDEX(tblCountyCalc[FTE_required],MATCH($A55,tblCountyCalc[County],0)),"")</f>
        <v/>
      </c>
      <c r="L55">
        <f>IFERROR(INDEX(tblCountyCalc[Gap],MATCH($A55,tblCountyCalc[County],0)),"")</f>
        <v/>
      </c>
      <c r="M55">
        <f>IFERROR(INDEX(tblCountyCalc[RAG],MATCH($A55,tblCountyCalc[County],0)),"")</f>
        <v/>
      </c>
    </row>
    <row r="56">
      <c r="A56" t="inlineStr">
        <is>
          <t>Norman</t>
        </is>
      </c>
      <c r="B56">
        <f>Inputs_State!$B$1</f>
        <v/>
      </c>
      <c r="C56">
        <f>IFERROR(INDEX(tblCountyCalc[AP],MATCH($A56,tblCountyCalc[County],0)),"")</f>
        <v/>
      </c>
      <c r="D56">
        <f>IFERROR(INDEX(tblCountyCalc[CPF],MATCH($A56,tblCountyCalc[County],0)),"")</f>
        <v/>
      </c>
      <c r="E56">
        <f>IFERROR(INDEX(tblCountyCalc[P_ref],MATCH($A56,tblCountyCalc[County],0)),"")</f>
        <v/>
      </c>
      <c r="F56">
        <f>IFERROR(INDEX(tblCountyCalc[P_eff],MATCH($A56,tblCountyCalc[County],0)),"")</f>
        <v/>
      </c>
      <c r="G56">
        <f>IFERROR(INDEX(tblCountyCalc[FTE_on],MATCH($A56,tblCountyCalc[County],0)),"")</f>
        <v/>
      </c>
      <c r="H56">
        <f>IFERROR(INDEX(tblCountyCalc[Utilization],MATCH($A56,tblCountyCalc[County],0)),"")</f>
        <v/>
      </c>
      <c r="I56">
        <f>IFERROR(INDEX(tblCountyCalc[Backlog_Start],MATCH($A56,tblCountyCalc[County],0)),"")</f>
        <v/>
      </c>
      <c r="J56">
        <f>IFERROR(INDEX(tblCountyCalc[Backlog_End],MATCH($A56,tblCountyCalc[County],0)),"")</f>
        <v/>
      </c>
      <c r="K56">
        <f>IFERROR(INDEX(tblCountyCalc[FTE_required],MATCH($A56,tblCountyCalc[County],0)),"")</f>
        <v/>
      </c>
      <c r="L56">
        <f>IFERROR(INDEX(tblCountyCalc[Gap],MATCH($A56,tblCountyCalc[County],0)),"")</f>
        <v/>
      </c>
      <c r="M56">
        <f>IFERROR(INDEX(tblCountyCalc[RAG],MATCH($A56,tblCountyCalc[County],0)),"")</f>
        <v/>
      </c>
    </row>
    <row r="57">
      <c r="A57" t="inlineStr">
        <is>
          <t>Olmsted</t>
        </is>
      </c>
      <c r="B57">
        <f>Inputs_State!$B$1</f>
        <v/>
      </c>
      <c r="C57">
        <f>IFERROR(INDEX(tblCountyCalc[AP],MATCH($A57,tblCountyCalc[County],0)),"")</f>
        <v/>
      </c>
      <c r="D57">
        <f>IFERROR(INDEX(tblCountyCalc[CPF],MATCH($A57,tblCountyCalc[County],0)),"")</f>
        <v/>
      </c>
      <c r="E57">
        <f>IFERROR(INDEX(tblCountyCalc[P_ref],MATCH($A57,tblCountyCalc[County],0)),"")</f>
        <v/>
      </c>
      <c r="F57">
        <f>IFERROR(INDEX(tblCountyCalc[P_eff],MATCH($A57,tblCountyCalc[County],0)),"")</f>
        <v/>
      </c>
      <c r="G57">
        <f>IFERROR(INDEX(tblCountyCalc[FTE_on],MATCH($A57,tblCountyCalc[County],0)),"")</f>
        <v/>
      </c>
      <c r="H57">
        <f>IFERROR(INDEX(tblCountyCalc[Utilization],MATCH($A57,tblCountyCalc[County],0)),"")</f>
        <v/>
      </c>
      <c r="I57">
        <f>IFERROR(INDEX(tblCountyCalc[Backlog_Start],MATCH($A57,tblCountyCalc[County],0)),"")</f>
        <v/>
      </c>
      <c r="J57">
        <f>IFERROR(INDEX(tblCountyCalc[Backlog_End],MATCH($A57,tblCountyCalc[County],0)),"")</f>
        <v/>
      </c>
      <c r="K57">
        <f>IFERROR(INDEX(tblCountyCalc[FTE_required],MATCH($A57,tblCountyCalc[County],0)),"")</f>
        <v/>
      </c>
      <c r="L57">
        <f>IFERROR(INDEX(tblCountyCalc[Gap],MATCH($A57,tblCountyCalc[County],0)),"")</f>
        <v/>
      </c>
      <c r="M57">
        <f>IFERROR(INDEX(tblCountyCalc[RAG],MATCH($A57,tblCountyCalc[County],0)),"")</f>
        <v/>
      </c>
    </row>
    <row r="58">
      <c r="A58" t="inlineStr">
        <is>
          <t>Otter Tail</t>
        </is>
      </c>
      <c r="B58">
        <f>Inputs_State!$B$1</f>
        <v/>
      </c>
      <c r="C58">
        <f>IFERROR(INDEX(tblCountyCalc[AP],MATCH($A58,tblCountyCalc[County],0)),"")</f>
        <v/>
      </c>
      <c r="D58">
        <f>IFERROR(INDEX(tblCountyCalc[CPF],MATCH($A58,tblCountyCalc[County],0)),"")</f>
        <v/>
      </c>
      <c r="E58">
        <f>IFERROR(INDEX(tblCountyCalc[P_ref],MATCH($A58,tblCountyCalc[County],0)),"")</f>
        <v/>
      </c>
      <c r="F58">
        <f>IFERROR(INDEX(tblCountyCalc[P_eff],MATCH($A58,tblCountyCalc[County],0)),"")</f>
        <v/>
      </c>
      <c r="G58">
        <f>IFERROR(INDEX(tblCountyCalc[FTE_on],MATCH($A58,tblCountyCalc[County],0)),"")</f>
        <v/>
      </c>
      <c r="H58">
        <f>IFERROR(INDEX(tblCountyCalc[Utilization],MATCH($A58,tblCountyCalc[County],0)),"")</f>
        <v/>
      </c>
      <c r="I58">
        <f>IFERROR(INDEX(tblCountyCalc[Backlog_Start],MATCH($A58,tblCountyCalc[County],0)),"")</f>
        <v/>
      </c>
      <c r="J58">
        <f>IFERROR(INDEX(tblCountyCalc[Backlog_End],MATCH($A58,tblCountyCalc[County],0)),"")</f>
        <v/>
      </c>
      <c r="K58">
        <f>IFERROR(INDEX(tblCountyCalc[FTE_required],MATCH($A58,tblCountyCalc[County],0)),"")</f>
        <v/>
      </c>
      <c r="L58">
        <f>IFERROR(INDEX(tblCountyCalc[Gap],MATCH($A58,tblCountyCalc[County],0)),"")</f>
        <v/>
      </c>
      <c r="M58">
        <f>IFERROR(INDEX(tblCountyCalc[RAG],MATCH($A58,tblCountyCalc[County],0)),"")</f>
        <v/>
      </c>
    </row>
    <row r="59">
      <c r="A59" t="inlineStr">
        <is>
          <t>Pennington</t>
        </is>
      </c>
      <c r="B59">
        <f>Inputs_State!$B$1</f>
        <v/>
      </c>
      <c r="C59">
        <f>IFERROR(INDEX(tblCountyCalc[AP],MATCH($A59,tblCountyCalc[County],0)),"")</f>
        <v/>
      </c>
      <c r="D59">
        <f>IFERROR(INDEX(tblCountyCalc[CPF],MATCH($A59,tblCountyCalc[County],0)),"")</f>
        <v/>
      </c>
      <c r="E59">
        <f>IFERROR(INDEX(tblCountyCalc[P_ref],MATCH($A59,tblCountyCalc[County],0)),"")</f>
        <v/>
      </c>
      <c r="F59">
        <f>IFERROR(INDEX(tblCountyCalc[P_eff],MATCH($A59,tblCountyCalc[County],0)),"")</f>
        <v/>
      </c>
      <c r="G59">
        <f>IFERROR(INDEX(tblCountyCalc[FTE_on],MATCH($A59,tblCountyCalc[County],0)),"")</f>
        <v/>
      </c>
      <c r="H59">
        <f>IFERROR(INDEX(tblCountyCalc[Utilization],MATCH($A59,tblCountyCalc[County],0)),"")</f>
        <v/>
      </c>
      <c r="I59">
        <f>IFERROR(INDEX(tblCountyCalc[Backlog_Start],MATCH($A59,tblCountyCalc[County],0)),"")</f>
        <v/>
      </c>
      <c r="J59">
        <f>IFERROR(INDEX(tblCountyCalc[Backlog_End],MATCH($A59,tblCountyCalc[County],0)),"")</f>
        <v/>
      </c>
      <c r="K59">
        <f>IFERROR(INDEX(tblCountyCalc[FTE_required],MATCH($A59,tblCountyCalc[County],0)),"")</f>
        <v/>
      </c>
      <c r="L59">
        <f>IFERROR(INDEX(tblCountyCalc[Gap],MATCH($A59,tblCountyCalc[County],0)),"")</f>
        <v/>
      </c>
      <c r="M59">
        <f>IFERROR(INDEX(tblCountyCalc[RAG],MATCH($A59,tblCountyCalc[County],0)),"")</f>
        <v/>
      </c>
    </row>
    <row r="60">
      <c r="A60" t="inlineStr">
        <is>
          <t>Pine</t>
        </is>
      </c>
      <c r="B60">
        <f>Inputs_State!$B$1</f>
        <v/>
      </c>
      <c r="C60">
        <f>IFERROR(INDEX(tblCountyCalc[AP],MATCH($A60,tblCountyCalc[County],0)),"")</f>
        <v/>
      </c>
      <c r="D60">
        <f>IFERROR(INDEX(tblCountyCalc[CPF],MATCH($A60,tblCountyCalc[County],0)),"")</f>
        <v/>
      </c>
      <c r="E60">
        <f>IFERROR(INDEX(tblCountyCalc[P_ref],MATCH($A60,tblCountyCalc[County],0)),"")</f>
        <v/>
      </c>
      <c r="F60">
        <f>IFERROR(INDEX(tblCountyCalc[P_eff],MATCH($A60,tblCountyCalc[County],0)),"")</f>
        <v/>
      </c>
      <c r="G60">
        <f>IFERROR(INDEX(tblCountyCalc[FTE_on],MATCH($A60,tblCountyCalc[County],0)),"")</f>
        <v/>
      </c>
      <c r="H60">
        <f>IFERROR(INDEX(tblCountyCalc[Utilization],MATCH($A60,tblCountyCalc[County],0)),"")</f>
        <v/>
      </c>
      <c r="I60">
        <f>IFERROR(INDEX(tblCountyCalc[Backlog_Start],MATCH($A60,tblCountyCalc[County],0)),"")</f>
        <v/>
      </c>
      <c r="J60">
        <f>IFERROR(INDEX(tblCountyCalc[Backlog_End],MATCH($A60,tblCountyCalc[County],0)),"")</f>
        <v/>
      </c>
      <c r="K60">
        <f>IFERROR(INDEX(tblCountyCalc[FTE_required],MATCH($A60,tblCountyCalc[County],0)),"")</f>
        <v/>
      </c>
      <c r="L60">
        <f>IFERROR(INDEX(tblCountyCalc[Gap],MATCH($A60,tblCountyCalc[County],0)),"")</f>
        <v/>
      </c>
      <c r="M60">
        <f>IFERROR(INDEX(tblCountyCalc[RAG],MATCH($A60,tblCountyCalc[County],0)),"")</f>
        <v/>
      </c>
    </row>
    <row r="61">
      <c r="A61" t="inlineStr">
        <is>
          <t>Pipestone</t>
        </is>
      </c>
      <c r="B61">
        <f>Inputs_State!$B$1</f>
        <v/>
      </c>
      <c r="C61">
        <f>IFERROR(INDEX(tblCountyCalc[AP],MATCH($A61,tblCountyCalc[County],0)),"")</f>
        <v/>
      </c>
      <c r="D61">
        <f>IFERROR(INDEX(tblCountyCalc[CPF],MATCH($A61,tblCountyCalc[County],0)),"")</f>
        <v/>
      </c>
      <c r="E61">
        <f>IFERROR(INDEX(tblCountyCalc[P_ref],MATCH($A61,tblCountyCalc[County],0)),"")</f>
        <v/>
      </c>
      <c r="F61">
        <f>IFERROR(INDEX(tblCountyCalc[P_eff],MATCH($A61,tblCountyCalc[County],0)),"")</f>
        <v/>
      </c>
      <c r="G61">
        <f>IFERROR(INDEX(tblCountyCalc[FTE_on],MATCH($A61,tblCountyCalc[County],0)),"")</f>
        <v/>
      </c>
      <c r="H61">
        <f>IFERROR(INDEX(tblCountyCalc[Utilization],MATCH($A61,tblCountyCalc[County],0)),"")</f>
        <v/>
      </c>
      <c r="I61">
        <f>IFERROR(INDEX(tblCountyCalc[Backlog_Start],MATCH($A61,tblCountyCalc[County],0)),"")</f>
        <v/>
      </c>
      <c r="J61">
        <f>IFERROR(INDEX(tblCountyCalc[Backlog_End],MATCH($A61,tblCountyCalc[County],0)),"")</f>
        <v/>
      </c>
      <c r="K61">
        <f>IFERROR(INDEX(tblCountyCalc[FTE_required],MATCH($A61,tblCountyCalc[County],0)),"")</f>
        <v/>
      </c>
      <c r="L61">
        <f>IFERROR(INDEX(tblCountyCalc[Gap],MATCH($A61,tblCountyCalc[County],0)),"")</f>
        <v/>
      </c>
      <c r="M61">
        <f>IFERROR(INDEX(tblCountyCalc[RAG],MATCH($A61,tblCountyCalc[County],0)),"")</f>
        <v/>
      </c>
    </row>
    <row r="62">
      <c r="A62" t="inlineStr">
        <is>
          <t>Polk</t>
        </is>
      </c>
      <c r="B62">
        <f>Inputs_State!$B$1</f>
        <v/>
      </c>
      <c r="C62">
        <f>IFERROR(INDEX(tblCountyCalc[AP],MATCH($A62,tblCountyCalc[County],0)),"")</f>
        <v/>
      </c>
      <c r="D62">
        <f>IFERROR(INDEX(tblCountyCalc[CPF],MATCH($A62,tblCountyCalc[County],0)),"")</f>
        <v/>
      </c>
      <c r="E62">
        <f>IFERROR(INDEX(tblCountyCalc[P_ref],MATCH($A62,tblCountyCalc[County],0)),"")</f>
        <v/>
      </c>
      <c r="F62">
        <f>IFERROR(INDEX(tblCountyCalc[P_eff],MATCH($A62,tblCountyCalc[County],0)),"")</f>
        <v/>
      </c>
      <c r="G62">
        <f>IFERROR(INDEX(tblCountyCalc[FTE_on],MATCH($A62,tblCountyCalc[County],0)),"")</f>
        <v/>
      </c>
      <c r="H62">
        <f>IFERROR(INDEX(tblCountyCalc[Utilization],MATCH($A62,tblCountyCalc[County],0)),"")</f>
        <v/>
      </c>
      <c r="I62">
        <f>IFERROR(INDEX(tblCountyCalc[Backlog_Start],MATCH($A62,tblCountyCalc[County],0)),"")</f>
        <v/>
      </c>
      <c r="J62">
        <f>IFERROR(INDEX(tblCountyCalc[Backlog_End],MATCH($A62,tblCountyCalc[County],0)),"")</f>
        <v/>
      </c>
      <c r="K62">
        <f>IFERROR(INDEX(tblCountyCalc[FTE_required],MATCH($A62,tblCountyCalc[County],0)),"")</f>
        <v/>
      </c>
      <c r="L62">
        <f>IFERROR(INDEX(tblCountyCalc[Gap],MATCH($A62,tblCountyCalc[County],0)),"")</f>
        <v/>
      </c>
      <c r="M62">
        <f>IFERROR(INDEX(tblCountyCalc[RAG],MATCH($A62,tblCountyCalc[County],0)),"")</f>
        <v/>
      </c>
    </row>
    <row r="63">
      <c r="A63" t="inlineStr">
        <is>
          <t>Pope</t>
        </is>
      </c>
      <c r="B63">
        <f>Inputs_State!$B$1</f>
        <v/>
      </c>
      <c r="C63">
        <f>IFERROR(INDEX(tblCountyCalc[AP],MATCH($A63,tblCountyCalc[County],0)),"")</f>
        <v/>
      </c>
      <c r="D63">
        <f>IFERROR(INDEX(tblCountyCalc[CPF],MATCH($A63,tblCountyCalc[County],0)),"")</f>
        <v/>
      </c>
      <c r="E63">
        <f>IFERROR(INDEX(tblCountyCalc[P_ref],MATCH($A63,tblCountyCalc[County],0)),"")</f>
        <v/>
      </c>
      <c r="F63">
        <f>IFERROR(INDEX(tblCountyCalc[P_eff],MATCH($A63,tblCountyCalc[County],0)),"")</f>
        <v/>
      </c>
      <c r="G63">
        <f>IFERROR(INDEX(tblCountyCalc[FTE_on],MATCH($A63,tblCountyCalc[County],0)),"")</f>
        <v/>
      </c>
      <c r="H63">
        <f>IFERROR(INDEX(tblCountyCalc[Utilization],MATCH($A63,tblCountyCalc[County],0)),"")</f>
        <v/>
      </c>
      <c r="I63">
        <f>IFERROR(INDEX(tblCountyCalc[Backlog_Start],MATCH($A63,tblCountyCalc[County],0)),"")</f>
        <v/>
      </c>
      <c r="J63">
        <f>IFERROR(INDEX(tblCountyCalc[Backlog_End],MATCH($A63,tblCountyCalc[County],0)),"")</f>
        <v/>
      </c>
      <c r="K63">
        <f>IFERROR(INDEX(tblCountyCalc[FTE_required],MATCH($A63,tblCountyCalc[County],0)),"")</f>
        <v/>
      </c>
      <c r="L63">
        <f>IFERROR(INDEX(tblCountyCalc[Gap],MATCH($A63,tblCountyCalc[County],0)),"")</f>
        <v/>
      </c>
      <c r="M63">
        <f>IFERROR(INDEX(tblCountyCalc[RAG],MATCH($A63,tblCountyCalc[County],0)),"")</f>
        <v/>
      </c>
    </row>
    <row r="64">
      <c r="A64" t="inlineStr">
        <is>
          <t>Ramsey</t>
        </is>
      </c>
      <c r="B64">
        <f>Inputs_State!$B$1</f>
        <v/>
      </c>
      <c r="C64">
        <f>IFERROR(INDEX(tblCountyCalc[AP],MATCH($A64,tblCountyCalc[County],0)),"")</f>
        <v/>
      </c>
      <c r="D64">
        <f>IFERROR(INDEX(tblCountyCalc[CPF],MATCH($A64,tblCountyCalc[County],0)),"")</f>
        <v/>
      </c>
      <c r="E64">
        <f>IFERROR(INDEX(tblCountyCalc[P_ref],MATCH($A64,tblCountyCalc[County],0)),"")</f>
        <v/>
      </c>
      <c r="F64">
        <f>IFERROR(INDEX(tblCountyCalc[P_eff],MATCH($A64,tblCountyCalc[County],0)),"")</f>
        <v/>
      </c>
      <c r="G64">
        <f>IFERROR(INDEX(tblCountyCalc[FTE_on],MATCH($A64,tblCountyCalc[County],0)),"")</f>
        <v/>
      </c>
      <c r="H64">
        <f>IFERROR(INDEX(tblCountyCalc[Utilization],MATCH($A64,tblCountyCalc[County],0)),"")</f>
        <v/>
      </c>
      <c r="I64">
        <f>IFERROR(INDEX(tblCountyCalc[Backlog_Start],MATCH($A64,tblCountyCalc[County],0)),"")</f>
        <v/>
      </c>
      <c r="J64">
        <f>IFERROR(INDEX(tblCountyCalc[Backlog_End],MATCH($A64,tblCountyCalc[County],0)),"")</f>
        <v/>
      </c>
      <c r="K64">
        <f>IFERROR(INDEX(tblCountyCalc[FTE_required],MATCH($A64,tblCountyCalc[County],0)),"")</f>
        <v/>
      </c>
      <c r="L64">
        <f>IFERROR(INDEX(tblCountyCalc[Gap],MATCH($A64,tblCountyCalc[County],0)),"")</f>
        <v/>
      </c>
      <c r="M64">
        <f>IFERROR(INDEX(tblCountyCalc[RAG],MATCH($A64,tblCountyCalc[County],0)),"")</f>
        <v/>
      </c>
    </row>
    <row r="65">
      <c r="A65" t="inlineStr">
        <is>
          <t>Red Lake</t>
        </is>
      </c>
      <c r="B65">
        <f>Inputs_State!$B$1</f>
        <v/>
      </c>
      <c r="C65">
        <f>IFERROR(INDEX(tblCountyCalc[AP],MATCH($A65,tblCountyCalc[County],0)),"")</f>
        <v/>
      </c>
      <c r="D65">
        <f>IFERROR(INDEX(tblCountyCalc[CPF],MATCH($A65,tblCountyCalc[County],0)),"")</f>
        <v/>
      </c>
      <c r="E65">
        <f>IFERROR(INDEX(tblCountyCalc[P_ref],MATCH($A65,tblCountyCalc[County],0)),"")</f>
        <v/>
      </c>
      <c r="F65">
        <f>IFERROR(INDEX(tblCountyCalc[P_eff],MATCH($A65,tblCountyCalc[County],0)),"")</f>
        <v/>
      </c>
      <c r="G65">
        <f>IFERROR(INDEX(tblCountyCalc[FTE_on],MATCH($A65,tblCountyCalc[County],0)),"")</f>
        <v/>
      </c>
      <c r="H65">
        <f>IFERROR(INDEX(tblCountyCalc[Utilization],MATCH($A65,tblCountyCalc[County],0)),"")</f>
        <v/>
      </c>
      <c r="I65">
        <f>IFERROR(INDEX(tblCountyCalc[Backlog_Start],MATCH($A65,tblCountyCalc[County],0)),"")</f>
        <v/>
      </c>
      <c r="J65">
        <f>IFERROR(INDEX(tblCountyCalc[Backlog_End],MATCH($A65,tblCountyCalc[County],0)),"")</f>
        <v/>
      </c>
      <c r="K65">
        <f>IFERROR(INDEX(tblCountyCalc[FTE_required],MATCH($A65,tblCountyCalc[County],0)),"")</f>
        <v/>
      </c>
      <c r="L65">
        <f>IFERROR(INDEX(tblCountyCalc[Gap],MATCH($A65,tblCountyCalc[County],0)),"")</f>
        <v/>
      </c>
      <c r="M65">
        <f>IFERROR(INDEX(tblCountyCalc[RAG],MATCH($A65,tblCountyCalc[County],0)),"")</f>
        <v/>
      </c>
    </row>
    <row r="66">
      <c r="A66" t="inlineStr">
        <is>
          <t>Redwood</t>
        </is>
      </c>
      <c r="B66">
        <f>Inputs_State!$B$1</f>
        <v/>
      </c>
      <c r="C66">
        <f>IFERROR(INDEX(tblCountyCalc[AP],MATCH($A66,tblCountyCalc[County],0)),"")</f>
        <v/>
      </c>
      <c r="D66">
        <f>IFERROR(INDEX(tblCountyCalc[CPF],MATCH($A66,tblCountyCalc[County],0)),"")</f>
        <v/>
      </c>
      <c r="E66">
        <f>IFERROR(INDEX(tblCountyCalc[P_ref],MATCH($A66,tblCountyCalc[County],0)),"")</f>
        <v/>
      </c>
      <c r="F66">
        <f>IFERROR(INDEX(tblCountyCalc[P_eff],MATCH($A66,tblCountyCalc[County],0)),"")</f>
        <v/>
      </c>
      <c r="G66">
        <f>IFERROR(INDEX(tblCountyCalc[FTE_on],MATCH($A66,tblCountyCalc[County],0)),"")</f>
        <v/>
      </c>
      <c r="H66">
        <f>IFERROR(INDEX(tblCountyCalc[Utilization],MATCH($A66,tblCountyCalc[County],0)),"")</f>
        <v/>
      </c>
      <c r="I66">
        <f>IFERROR(INDEX(tblCountyCalc[Backlog_Start],MATCH($A66,tblCountyCalc[County],0)),"")</f>
        <v/>
      </c>
      <c r="J66">
        <f>IFERROR(INDEX(tblCountyCalc[Backlog_End],MATCH($A66,tblCountyCalc[County],0)),"")</f>
        <v/>
      </c>
      <c r="K66">
        <f>IFERROR(INDEX(tblCountyCalc[FTE_required],MATCH($A66,tblCountyCalc[County],0)),"")</f>
        <v/>
      </c>
      <c r="L66">
        <f>IFERROR(INDEX(tblCountyCalc[Gap],MATCH($A66,tblCountyCalc[County],0)),"")</f>
        <v/>
      </c>
      <c r="M66">
        <f>IFERROR(INDEX(tblCountyCalc[RAG],MATCH($A66,tblCountyCalc[County],0)),"")</f>
        <v/>
      </c>
    </row>
    <row r="67">
      <c r="A67" t="inlineStr">
        <is>
          <t>Renville</t>
        </is>
      </c>
      <c r="B67">
        <f>Inputs_State!$B$1</f>
        <v/>
      </c>
      <c r="C67">
        <f>IFERROR(INDEX(tblCountyCalc[AP],MATCH($A67,tblCountyCalc[County],0)),"")</f>
        <v/>
      </c>
      <c r="D67">
        <f>IFERROR(INDEX(tblCountyCalc[CPF],MATCH($A67,tblCountyCalc[County],0)),"")</f>
        <v/>
      </c>
      <c r="E67">
        <f>IFERROR(INDEX(tblCountyCalc[P_ref],MATCH($A67,tblCountyCalc[County],0)),"")</f>
        <v/>
      </c>
      <c r="F67">
        <f>IFERROR(INDEX(tblCountyCalc[P_eff],MATCH($A67,tblCountyCalc[County],0)),"")</f>
        <v/>
      </c>
      <c r="G67">
        <f>IFERROR(INDEX(tblCountyCalc[FTE_on],MATCH($A67,tblCountyCalc[County],0)),"")</f>
        <v/>
      </c>
      <c r="H67">
        <f>IFERROR(INDEX(tblCountyCalc[Utilization],MATCH($A67,tblCountyCalc[County],0)),"")</f>
        <v/>
      </c>
      <c r="I67">
        <f>IFERROR(INDEX(tblCountyCalc[Backlog_Start],MATCH($A67,tblCountyCalc[County],0)),"")</f>
        <v/>
      </c>
      <c r="J67">
        <f>IFERROR(INDEX(tblCountyCalc[Backlog_End],MATCH($A67,tblCountyCalc[County],0)),"")</f>
        <v/>
      </c>
      <c r="K67">
        <f>IFERROR(INDEX(tblCountyCalc[FTE_required],MATCH($A67,tblCountyCalc[County],0)),"")</f>
        <v/>
      </c>
      <c r="L67">
        <f>IFERROR(INDEX(tblCountyCalc[Gap],MATCH($A67,tblCountyCalc[County],0)),"")</f>
        <v/>
      </c>
      <c r="M67">
        <f>IFERROR(INDEX(tblCountyCalc[RAG],MATCH($A67,tblCountyCalc[County],0)),"")</f>
        <v/>
      </c>
    </row>
    <row r="68">
      <c r="A68" t="inlineStr">
        <is>
          <t>Rice</t>
        </is>
      </c>
      <c r="B68">
        <f>Inputs_State!$B$1</f>
        <v/>
      </c>
      <c r="C68">
        <f>IFERROR(INDEX(tblCountyCalc[AP],MATCH($A68,tblCountyCalc[County],0)),"")</f>
        <v/>
      </c>
      <c r="D68">
        <f>IFERROR(INDEX(tblCountyCalc[CPF],MATCH($A68,tblCountyCalc[County],0)),"")</f>
        <v/>
      </c>
      <c r="E68">
        <f>IFERROR(INDEX(tblCountyCalc[P_ref],MATCH($A68,tblCountyCalc[County],0)),"")</f>
        <v/>
      </c>
      <c r="F68">
        <f>IFERROR(INDEX(tblCountyCalc[P_eff],MATCH($A68,tblCountyCalc[County],0)),"")</f>
        <v/>
      </c>
      <c r="G68">
        <f>IFERROR(INDEX(tblCountyCalc[FTE_on],MATCH($A68,tblCountyCalc[County],0)),"")</f>
        <v/>
      </c>
      <c r="H68">
        <f>IFERROR(INDEX(tblCountyCalc[Utilization],MATCH($A68,tblCountyCalc[County],0)),"")</f>
        <v/>
      </c>
      <c r="I68">
        <f>IFERROR(INDEX(tblCountyCalc[Backlog_Start],MATCH($A68,tblCountyCalc[County],0)),"")</f>
        <v/>
      </c>
      <c r="J68">
        <f>IFERROR(INDEX(tblCountyCalc[Backlog_End],MATCH($A68,tblCountyCalc[County],0)),"")</f>
        <v/>
      </c>
      <c r="K68">
        <f>IFERROR(INDEX(tblCountyCalc[FTE_required],MATCH($A68,tblCountyCalc[County],0)),"")</f>
        <v/>
      </c>
      <c r="L68">
        <f>IFERROR(INDEX(tblCountyCalc[Gap],MATCH($A68,tblCountyCalc[County],0)),"")</f>
        <v/>
      </c>
      <c r="M68">
        <f>IFERROR(INDEX(tblCountyCalc[RAG],MATCH($A68,tblCountyCalc[County],0)),"")</f>
        <v/>
      </c>
    </row>
    <row r="69">
      <c r="A69" t="inlineStr">
        <is>
          <t>Rock</t>
        </is>
      </c>
      <c r="B69">
        <f>Inputs_State!$B$1</f>
        <v/>
      </c>
      <c r="C69">
        <f>IFERROR(INDEX(tblCountyCalc[AP],MATCH($A69,tblCountyCalc[County],0)),"")</f>
        <v/>
      </c>
      <c r="D69">
        <f>IFERROR(INDEX(tblCountyCalc[CPF],MATCH($A69,tblCountyCalc[County],0)),"")</f>
        <v/>
      </c>
      <c r="E69">
        <f>IFERROR(INDEX(tblCountyCalc[P_ref],MATCH($A69,tblCountyCalc[County],0)),"")</f>
        <v/>
      </c>
      <c r="F69">
        <f>IFERROR(INDEX(tblCountyCalc[P_eff],MATCH($A69,tblCountyCalc[County],0)),"")</f>
        <v/>
      </c>
      <c r="G69">
        <f>IFERROR(INDEX(tblCountyCalc[FTE_on],MATCH($A69,tblCountyCalc[County],0)),"")</f>
        <v/>
      </c>
      <c r="H69">
        <f>IFERROR(INDEX(tblCountyCalc[Utilization],MATCH($A69,tblCountyCalc[County],0)),"")</f>
        <v/>
      </c>
      <c r="I69">
        <f>IFERROR(INDEX(tblCountyCalc[Backlog_Start],MATCH($A69,tblCountyCalc[County],0)),"")</f>
        <v/>
      </c>
      <c r="J69">
        <f>IFERROR(INDEX(tblCountyCalc[Backlog_End],MATCH($A69,tblCountyCalc[County],0)),"")</f>
        <v/>
      </c>
      <c r="K69">
        <f>IFERROR(INDEX(tblCountyCalc[FTE_required],MATCH($A69,tblCountyCalc[County],0)),"")</f>
        <v/>
      </c>
      <c r="L69">
        <f>IFERROR(INDEX(tblCountyCalc[Gap],MATCH($A69,tblCountyCalc[County],0)),"")</f>
        <v/>
      </c>
      <c r="M69">
        <f>IFERROR(INDEX(tblCountyCalc[RAG],MATCH($A69,tblCountyCalc[County],0)),"")</f>
        <v/>
      </c>
    </row>
    <row r="70">
      <c r="A70" t="inlineStr">
        <is>
          <t>Roseau</t>
        </is>
      </c>
      <c r="B70">
        <f>Inputs_State!$B$1</f>
        <v/>
      </c>
      <c r="C70">
        <f>IFERROR(INDEX(tblCountyCalc[AP],MATCH($A70,tblCountyCalc[County],0)),"")</f>
        <v/>
      </c>
      <c r="D70">
        <f>IFERROR(INDEX(tblCountyCalc[CPF],MATCH($A70,tblCountyCalc[County],0)),"")</f>
        <v/>
      </c>
      <c r="E70">
        <f>IFERROR(INDEX(tblCountyCalc[P_ref],MATCH($A70,tblCountyCalc[County],0)),"")</f>
        <v/>
      </c>
      <c r="F70">
        <f>IFERROR(INDEX(tblCountyCalc[P_eff],MATCH($A70,tblCountyCalc[County],0)),"")</f>
        <v/>
      </c>
      <c r="G70">
        <f>IFERROR(INDEX(tblCountyCalc[FTE_on],MATCH($A70,tblCountyCalc[County],0)),"")</f>
        <v/>
      </c>
      <c r="H70">
        <f>IFERROR(INDEX(tblCountyCalc[Utilization],MATCH($A70,tblCountyCalc[County],0)),"")</f>
        <v/>
      </c>
      <c r="I70">
        <f>IFERROR(INDEX(tblCountyCalc[Backlog_Start],MATCH($A70,tblCountyCalc[County],0)),"")</f>
        <v/>
      </c>
      <c r="J70">
        <f>IFERROR(INDEX(tblCountyCalc[Backlog_End],MATCH($A70,tblCountyCalc[County],0)),"")</f>
        <v/>
      </c>
      <c r="K70">
        <f>IFERROR(INDEX(tblCountyCalc[FTE_required],MATCH($A70,tblCountyCalc[County],0)),"")</f>
        <v/>
      </c>
      <c r="L70">
        <f>IFERROR(INDEX(tblCountyCalc[Gap],MATCH($A70,tblCountyCalc[County],0)),"")</f>
        <v/>
      </c>
      <c r="M70">
        <f>IFERROR(INDEX(tblCountyCalc[RAG],MATCH($A70,tblCountyCalc[County],0)),"")</f>
        <v/>
      </c>
    </row>
    <row r="71">
      <c r="A71" t="inlineStr">
        <is>
          <t>St. Louis</t>
        </is>
      </c>
      <c r="B71">
        <f>Inputs_State!$B$1</f>
        <v/>
      </c>
      <c r="C71">
        <f>IFERROR(INDEX(tblCountyCalc[AP],MATCH($A71,tblCountyCalc[County],0)),"")</f>
        <v/>
      </c>
      <c r="D71">
        <f>IFERROR(INDEX(tblCountyCalc[CPF],MATCH($A71,tblCountyCalc[County],0)),"")</f>
        <v/>
      </c>
      <c r="E71">
        <f>IFERROR(INDEX(tblCountyCalc[P_ref],MATCH($A71,tblCountyCalc[County],0)),"")</f>
        <v/>
      </c>
      <c r="F71">
        <f>IFERROR(INDEX(tblCountyCalc[P_eff],MATCH($A71,tblCountyCalc[County],0)),"")</f>
        <v/>
      </c>
      <c r="G71">
        <f>IFERROR(INDEX(tblCountyCalc[FTE_on],MATCH($A71,tblCountyCalc[County],0)),"")</f>
        <v/>
      </c>
      <c r="H71">
        <f>IFERROR(INDEX(tblCountyCalc[Utilization],MATCH($A71,tblCountyCalc[County],0)),"")</f>
        <v/>
      </c>
      <c r="I71">
        <f>IFERROR(INDEX(tblCountyCalc[Backlog_Start],MATCH($A71,tblCountyCalc[County],0)),"")</f>
        <v/>
      </c>
      <c r="J71">
        <f>IFERROR(INDEX(tblCountyCalc[Backlog_End],MATCH($A71,tblCountyCalc[County],0)),"")</f>
        <v/>
      </c>
      <c r="K71">
        <f>IFERROR(INDEX(tblCountyCalc[FTE_required],MATCH($A71,tblCountyCalc[County],0)),"")</f>
        <v/>
      </c>
      <c r="L71">
        <f>IFERROR(INDEX(tblCountyCalc[Gap],MATCH($A71,tblCountyCalc[County],0)),"")</f>
        <v/>
      </c>
      <c r="M71">
        <f>IFERROR(INDEX(tblCountyCalc[RAG],MATCH($A71,tblCountyCalc[County],0)),"")</f>
        <v/>
      </c>
    </row>
    <row r="72">
      <c r="A72" t="inlineStr">
        <is>
          <t>Scott</t>
        </is>
      </c>
      <c r="B72">
        <f>Inputs_State!$B$1</f>
        <v/>
      </c>
      <c r="C72">
        <f>IFERROR(INDEX(tblCountyCalc[AP],MATCH($A72,tblCountyCalc[County],0)),"")</f>
        <v/>
      </c>
      <c r="D72">
        <f>IFERROR(INDEX(tblCountyCalc[CPF],MATCH($A72,tblCountyCalc[County],0)),"")</f>
        <v/>
      </c>
      <c r="E72">
        <f>IFERROR(INDEX(tblCountyCalc[P_ref],MATCH($A72,tblCountyCalc[County],0)),"")</f>
        <v/>
      </c>
      <c r="F72">
        <f>IFERROR(INDEX(tblCountyCalc[P_eff],MATCH($A72,tblCountyCalc[County],0)),"")</f>
        <v/>
      </c>
      <c r="G72">
        <f>IFERROR(INDEX(tblCountyCalc[FTE_on],MATCH($A72,tblCountyCalc[County],0)),"")</f>
        <v/>
      </c>
      <c r="H72">
        <f>IFERROR(INDEX(tblCountyCalc[Utilization],MATCH($A72,tblCountyCalc[County],0)),"")</f>
        <v/>
      </c>
      <c r="I72">
        <f>IFERROR(INDEX(tblCountyCalc[Backlog_Start],MATCH($A72,tblCountyCalc[County],0)),"")</f>
        <v/>
      </c>
      <c r="J72">
        <f>IFERROR(INDEX(tblCountyCalc[Backlog_End],MATCH($A72,tblCountyCalc[County],0)),"")</f>
        <v/>
      </c>
      <c r="K72">
        <f>IFERROR(INDEX(tblCountyCalc[FTE_required],MATCH($A72,tblCountyCalc[County],0)),"")</f>
        <v/>
      </c>
      <c r="L72">
        <f>IFERROR(INDEX(tblCountyCalc[Gap],MATCH($A72,tblCountyCalc[County],0)),"")</f>
        <v/>
      </c>
      <c r="M72">
        <f>IFERROR(INDEX(tblCountyCalc[RAG],MATCH($A72,tblCountyCalc[County],0)),"")</f>
        <v/>
      </c>
    </row>
    <row r="73">
      <c r="A73" t="inlineStr">
        <is>
          <t>Sherburne</t>
        </is>
      </c>
      <c r="B73">
        <f>Inputs_State!$B$1</f>
        <v/>
      </c>
      <c r="C73">
        <f>IFERROR(INDEX(tblCountyCalc[AP],MATCH($A73,tblCountyCalc[County],0)),"")</f>
        <v/>
      </c>
      <c r="D73">
        <f>IFERROR(INDEX(tblCountyCalc[CPF],MATCH($A73,tblCountyCalc[County],0)),"")</f>
        <v/>
      </c>
      <c r="E73">
        <f>IFERROR(INDEX(tblCountyCalc[P_ref],MATCH($A73,tblCountyCalc[County],0)),"")</f>
        <v/>
      </c>
      <c r="F73">
        <f>IFERROR(INDEX(tblCountyCalc[P_eff],MATCH($A73,tblCountyCalc[County],0)),"")</f>
        <v/>
      </c>
      <c r="G73">
        <f>IFERROR(INDEX(tblCountyCalc[FTE_on],MATCH($A73,tblCountyCalc[County],0)),"")</f>
        <v/>
      </c>
      <c r="H73">
        <f>IFERROR(INDEX(tblCountyCalc[Utilization],MATCH($A73,tblCountyCalc[County],0)),"")</f>
        <v/>
      </c>
      <c r="I73">
        <f>IFERROR(INDEX(tblCountyCalc[Backlog_Start],MATCH($A73,tblCountyCalc[County],0)),"")</f>
        <v/>
      </c>
      <c r="J73">
        <f>IFERROR(INDEX(tblCountyCalc[Backlog_End],MATCH($A73,tblCountyCalc[County],0)),"")</f>
        <v/>
      </c>
      <c r="K73">
        <f>IFERROR(INDEX(tblCountyCalc[FTE_required],MATCH($A73,tblCountyCalc[County],0)),"")</f>
        <v/>
      </c>
      <c r="L73">
        <f>IFERROR(INDEX(tblCountyCalc[Gap],MATCH($A73,tblCountyCalc[County],0)),"")</f>
        <v/>
      </c>
      <c r="M73">
        <f>IFERROR(INDEX(tblCountyCalc[RAG],MATCH($A73,tblCountyCalc[County],0)),"")</f>
        <v/>
      </c>
    </row>
    <row r="74">
      <c r="A74" t="inlineStr">
        <is>
          <t>Sibley</t>
        </is>
      </c>
      <c r="B74">
        <f>Inputs_State!$B$1</f>
        <v/>
      </c>
      <c r="C74">
        <f>IFERROR(INDEX(tblCountyCalc[AP],MATCH($A74,tblCountyCalc[County],0)),"")</f>
        <v/>
      </c>
      <c r="D74">
        <f>IFERROR(INDEX(tblCountyCalc[CPF],MATCH($A74,tblCountyCalc[County],0)),"")</f>
        <v/>
      </c>
      <c r="E74">
        <f>IFERROR(INDEX(tblCountyCalc[P_ref],MATCH($A74,tblCountyCalc[County],0)),"")</f>
        <v/>
      </c>
      <c r="F74">
        <f>IFERROR(INDEX(tblCountyCalc[P_eff],MATCH($A74,tblCountyCalc[County],0)),"")</f>
        <v/>
      </c>
      <c r="G74">
        <f>IFERROR(INDEX(tblCountyCalc[FTE_on],MATCH($A74,tblCountyCalc[County],0)),"")</f>
        <v/>
      </c>
      <c r="H74">
        <f>IFERROR(INDEX(tblCountyCalc[Utilization],MATCH($A74,tblCountyCalc[County],0)),"")</f>
        <v/>
      </c>
      <c r="I74">
        <f>IFERROR(INDEX(tblCountyCalc[Backlog_Start],MATCH($A74,tblCountyCalc[County],0)),"")</f>
        <v/>
      </c>
      <c r="J74">
        <f>IFERROR(INDEX(tblCountyCalc[Backlog_End],MATCH($A74,tblCountyCalc[County],0)),"")</f>
        <v/>
      </c>
      <c r="K74">
        <f>IFERROR(INDEX(tblCountyCalc[FTE_required],MATCH($A74,tblCountyCalc[County],0)),"")</f>
        <v/>
      </c>
      <c r="L74">
        <f>IFERROR(INDEX(tblCountyCalc[Gap],MATCH($A74,tblCountyCalc[County],0)),"")</f>
        <v/>
      </c>
      <c r="M74">
        <f>IFERROR(INDEX(tblCountyCalc[RAG],MATCH($A74,tblCountyCalc[County],0)),"")</f>
        <v/>
      </c>
    </row>
    <row r="75">
      <c r="A75" t="inlineStr">
        <is>
          <t>Stearns</t>
        </is>
      </c>
      <c r="B75">
        <f>Inputs_State!$B$1</f>
        <v/>
      </c>
      <c r="C75">
        <f>IFERROR(INDEX(tblCountyCalc[AP],MATCH($A75,tblCountyCalc[County],0)),"")</f>
        <v/>
      </c>
      <c r="D75">
        <f>IFERROR(INDEX(tblCountyCalc[CPF],MATCH($A75,tblCountyCalc[County],0)),"")</f>
        <v/>
      </c>
      <c r="E75">
        <f>IFERROR(INDEX(tblCountyCalc[P_ref],MATCH($A75,tblCountyCalc[County],0)),"")</f>
        <v/>
      </c>
      <c r="F75">
        <f>IFERROR(INDEX(tblCountyCalc[P_eff],MATCH($A75,tblCountyCalc[County],0)),"")</f>
        <v/>
      </c>
      <c r="G75">
        <f>IFERROR(INDEX(tblCountyCalc[FTE_on],MATCH($A75,tblCountyCalc[County],0)),"")</f>
        <v/>
      </c>
      <c r="H75">
        <f>IFERROR(INDEX(tblCountyCalc[Utilization],MATCH($A75,tblCountyCalc[County],0)),"")</f>
        <v/>
      </c>
      <c r="I75">
        <f>IFERROR(INDEX(tblCountyCalc[Backlog_Start],MATCH($A75,tblCountyCalc[County],0)),"")</f>
        <v/>
      </c>
      <c r="J75">
        <f>IFERROR(INDEX(tblCountyCalc[Backlog_End],MATCH($A75,tblCountyCalc[County],0)),"")</f>
        <v/>
      </c>
      <c r="K75">
        <f>IFERROR(INDEX(tblCountyCalc[FTE_required],MATCH($A75,tblCountyCalc[County],0)),"")</f>
        <v/>
      </c>
      <c r="L75">
        <f>IFERROR(INDEX(tblCountyCalc[Gap],MATCH($A75,tblCountyCalc[County],0)),"")</f>
        <v/>
      </c>
      <c r="M75">
        <f>IFERROR(INDEX(tblCountyCalc[RAG],MATCH($A75,tblCountyCalc[County],0)),"")</f>
        <v/>
      </c>
    </row>
    <row r="76">
      <c r="A76" t="inlineStr">
        <is>
          <t>Steele</t>
        </is>
      </c>
      <c r="B76">
        <f>Inputs_State!$B$1</f>
        <v/>
      </c>
      <c r="C76">
        <f>IFERROR(INDEX(tblCountyCalc[AP],MATCH($A76,tblCountyCalc[County],0)),"")</f>
        <v/>
      </c>
      <c r="D76">
        <f>IFERROR(INDEX(tblCountyCalc[CPF],MATCH($A76,tblCountyCalc[County],0)),"")</f>
        <v/>
      </c>
      <c r="E76">
        <f>IFERROR(INDEX(tblCountyCalc[P_ref],MATCH($A76,tblCountyCalc[County],0)),"")</f>
        <v/>
      </c>
      <c r="F76">
        <f>IFERROR(INDEX(tblCountyCalc[P_eff],MATCH($A76,tblCountyCalc[County],0)),"")</f>
        <v/>
      </c>
      <c r="G76">
        <f>IFERROR(INDEX(tblCountyCalc[FTE_on],MATCH($A76,tblCountyCalc[County],0)),"")</f>
        <v/>
      </c>
      <c r="H76">
        <f>IFERROR(INDEX(tblCountyCalc[Utilization],MATCH($A76,tblCountyCalc[County],0)),"")</f>
        <v/>
      </c>
      <c r="I76">
        <f>IFERROR(INDEX(tblCountyCalc[Backlog_Start],MATCH($A76,tblCountyCalc[County],0)),"")</f>
        <v/>
      </c>
      <c r="J76">
        <f>IFERROR(INDEX(tblCountyCalc[Backlog_End],MATCH($A76,tblCountyCalc[County],0)),"")</f>
        <v/>
      </c>
      <c r="K76">
        <f>IFERROR(INDEX(tblCountyCalc[FTE_required],MATCH($A76,tblCountyCalc[County],0)),"")</f>
        <v/>
      </c>
      <c r="L76">
        <f>IFERROR(INDEX(tblCountyCalc[Gap],MATCH($A76,tblCountyCalc[County],0)),"")</f>
        <v/>
      </c>
      <c r="M76">
        <f>IFERROR(INDEX(tblCountyCalc[RAG],MATCH($A76,tblCountyCalc[County],0)),"")</f>
        <v/>
      </c>
    </row>
    <row r="77">
      <c r="A77" t="inlineStr">
        <is>
          <t>Stevens</t>
        </is>
      </c>
      <c r="B77">
        <f>Inputs_State!$B$1</f>
        <v/>
      </c>
      <c r="C77">
        <f>IFERROR(INDEX(tblCountyCalc[AP],MATCH($A77,tblCountyCalc[County],0)),"")</f>
        <v/>
      </c>
      <c r="D77">
        <f>IFERROR(INDEX(tblCountyCalc[CPF],MATCH($A77,tblCountyCalc[County],0)),"")</f>
        <v/>
      </c>
      <c r="E77">
        <f>IFERROR(INDEX(tblCountyCalc[P_ref],MATCH($A77,tblCountyCalc[County],0)),"")</f>
        <v/>
      </c>
      <c r="F77">
        <f>IFERROR(INDEX(tblCountyCalc[P_eff],MATCH($A77,tblCountyCalc[County],0)),"")</f>
        <v/>
      </c>
      <c r="G77">
        <f>IFERROR(INDEX(tblCountyCalc[FTE_on],MATCH($A77,tblCountyCalc[County],0)),"")</f>
        <v/>
      </c>
      <c r="H77">
        <f>IFERROR(INDEX(tblCountyCalc[Utilization],MATCH($A77,tblCountyCalc[County],0)),"")</f>
        <v/>
      </c>
      <c r="I77">
        <f>IFERROR(INDEX(tblCountyCalc[Backlog_Start],MATCH($A77,tblCountyCalc[County],0)),"")</f>
        <v/>
      </c>
      <c r="J77">
        <f>IFERROR(INDEX(tblCountyCalc[Backlog_End],MATCH($A77,tblCountyCalc[County],0)),"")</f>
        <v/>
      </c>
      <c r="K77">
        <f>IFERROR(INDEX(tblCountyCalc[FTE_required],MATCH($A77,tblCountyCalc[County],0)),"")</f>
        <v/>
      </c>
      <c r="L77">
        <f>IFERROR(INDEX(tblCountyCalc[Gap],MATCH($A77,tblCountyCalc[County],0)),"")</f>
        <v/>
      </c>
      <c r="M77">
        <f>IFERROR(INDEX(tblCountyCalc[RAG],MATCH($A77,tblCountyCalc[County],0)),"")</f>
        <v/>
      </c>
    </row>
    <row r="78">
      <c r="A78" t="inlineStr">
        <is>
          <t>Swift</t>
        </is>
      </c>
      <c r="B78">
        <f>Inputs_State!$B$1</f>
        <v/>
      </c>
      <c r="C78">
        <f>IFERROR(INDEX(tblCountyCalc[AP],MATCH($A78,tblCountyCalc[County],0)),"")</f>
        <v/>
      </c>
      <c r="D78">
        <f>IFERROR(INDEX(tblCountyCalc[CPF],MATCH($A78,tblCountyCalc[County],0)),"")</f>
        <v/>
      </c>
      <c r="E78">
        <f>IFERROR(INDEX(tblCountyCalc[P_ref],MATCH($A78,tblCountyCalc[County],0)),"")</f>
        <v/>
      </c>
      <c r="F78">
        <f>IFERROR(INDEX(tblCountyCalc[P_eff],MATCH($A78,tblCountyCalc[County],0)),"")</f>
        <v/>
      </c>
      <c r="G78">
        <f>IFERROR(INDEX(tblCountyCalc[FTE_on],MATCH($A78,tblCountyCalc[County],0)),"")</f>
        <v/>
      </c>
      <c r="H78">
        <f>IFERROR(INDEX(tblCountyCalc[Utilization],MATCH($A78,tblCountyCalc[County],0)),"")</f>
        <v/>
      </c>
      <c r="I78">
        <f>IFERROR(INDEX(tblCountyCalc[Backlog_Start],MATCH($A78,tblCountyCalc[County],0)),"")</f>
        <v/>
      </c>
      <c r="J78">
        <f>IFERROR(INDEX(tblCountyCalc[Backlog_End],MATCH($A78,tblCountyCalc[County],0)),"")</f>
        <v/>
      </c>
      <c r="K78">
        <f>IFERROR(INDEX(tblCountyCalc[FTE_required],MATCH($A78,tblCountyCalc[County],0)),"")</f>
        <v/>
      </c>
      <c r="L78">
        <f>IFERROR(INDEX(tblCountyCalc[Gap],MATCH($A78,tblCountyCalc[County],0)),"")</f>
        <v/>
      </c>
      <c r="M78">
        <f>IFERROR(INDEX(tblCountyCalc[RAG],MATCH($A78,tblCountyCalc[County],0)),"")</f>
        <v/>
      </c>
    </row>
    <row r="79">
      <c r="A79" t="inlineStr">
        <is>
          <t>Todd</t>
        </is>
      </c>
      <c r="B79">
        <f>Inputs_State!$B$1</f>
        <v/>
      </c>
      <c r="C79">
        <f>IFERROR(INDEX(tblCountyCalc[AP],MATCH($A79,tblCountyCalc[County],0)),"")</f>
        <v/>
      </c>
      <c r="D79">
        <f>IFERROR(INDEX(tblCountyCalc[CPF],MATCH($A79,tblCountyCalc[County],0)),"")</f>
        <v/>
      </c>
      <c r="E79">
        <f>IFERROR(INDEX(tblCountyCalc[P_ref],MATCH($A79,tblCountyCalc[County],0)),"")</f>
        <v/>
      </c>
      <c r="F79">
        <f>IFERROR(INDEX(tblCountyCalc[P_eff],MATCH($A79,tblCountyCalc[County],0)),"")</f>
        <v/>
      </c>
      <c r="G79">
        <f>IFERROR(INDEX(tblCountyCalc[FTE_on],MATCH($A79,tblCountyCalc[County],0)),"")</f>
        <v/>
      </c>
      <c r="H79">
        <f>IFERROR(INDEX(tblCountyCalc[Utilization],MATCH($A79,tblCountyCalc[County],0)),"")</f>
        <v/>
      </c>
      <c r="I79">
        <f>IFERROR(INDEX(tblCountyCalc[Backlog_Start],MATCH($A79,tblCountyCalc[County],0)),"")</f>
        <v/>
      </c>
      <c r="J79">
        <f>IFERROR(INDEX(tblCountyCalc[Backlog_End],MATCH($A79,tblCountyCalc[County],0)),"")</f>
        <v/>
      </c>
      <c r="K79">
        <f>IFERROR(INDEX(tblCountyCalc[FTE_required],MATCH($A79,tblCountyCalc[County],0)),"")</f>
        <v/>
      </c>
      <c r="L79">
        <f>IFERROR(INDEX(tblCountyCalc[Gap],MATCH($A79,tblCountyCalc[County],0)),"")</f>
        <v/>
      </c>
      <c r="M79">
        <f>IFERROR(INDEX(tblCountyCalc[RAG],MATCH($A79,tblCountyCalc[County],0)),"")</f>
        <v/>
      </c>
    </row>
    <row r="80">
      <c r="A80" t="inlineStr">
        <is>
          <t>Traverse</t>
        </is>
      </c>
      <c r="B80">
        <f>Inputs_State!$B$1</f>
        <v/>
      </c>
      <c r="C80">
        <f>IFERROR(INDEX(tblCountyCalc[AP],MATCH($A80,tblCountyCalc[County],0)),"")</f>
        <v/>
      </c>
      <c r="D80">
        <f>IFERROR(INDEX(tblCountyCalc[CPF],MATCH($A80,tblCountyCalc[County],0)),"")</f>
        <v/>
      </c>
      <c r="E80">
        <f>IFERROR(INDEX(tblCountyCalc[P_ref],MATCH($A80,tblCountyCalc[County],0)),"")</f>
        <v/>
      </c>
      <c r="F80">
        <f>IFERROR(INDEX(tblCountyCalc[P_eff],MATCH($A80,tblCountyCalc[County],0)),"")</f>
        <v/>
      </c>
      <c r="G80">
        <f>IFERROR(INDEX(tblCountyCalc[FTE_on],MATCH($A80,tblCountyCalc[County],0)),"")</f>
        <v/>
      </c>
      <c r="H80">
        <f>IFERROR(INDEX(tblCountyCalc[Utilization],MATCH($A80,tblCountyCalc[County],0)),"")</f>
        <v/>
      </c>
      <c r="I80">
        <f>IFERROR(INDEX(tblCountyCalc[Backlog_Start],MATCH($A80,tblCountyCalc[County],0)),"")</f>
        <v/>
      </c>
      <c r="J80">
        <f>IFERROR(INDEX(tblCountyCalc[Backlog_End],MATCH($A80,tblCountyCalc[County],0)),"")</f>
        <v/>
      </c>
      <c r="K80">
        <f>IFERROR(INDEX(tblCountyCalc[FTE_required],MATCH($A80,tblCountyCalc[County],0)),"")</f>
        <v/>
      </c>
      <c r="L80">
        <f>IFERROR(INDEX(tblCountyCalc[Gap],MATCH($A80,tblCountyCalc[County],0)),"")</f>
        <v/>
      </c>
      <c r="M80">
        <f>IFERROR(INDEX(tblCountyCalc[RAG],MATCH($A80,tblCountyCalc[County],0)),"")</f>
        <v/>
      </c>
    </row>
    <row r="81">
      <c r="A81" t="inlineStr">
        <is>
          <t>Wabasha</t>
        </is>
      </c>
      <c r="B81">
        <f>Inputs_State!$B$1</f>
        <v/>
      </c>
      <c r="C81">
        <f>IFERROR(INDEX(tblCountyCalc[AP],MATCH($A81,tblCountyCalc[County],0)),"")</f>
        <v/>
      </c>
      <c r="D81">
        <f>IFERROR(INDEX(tblCountyCalc[CPF],MATCH($A81,tblCountyCalc[County],0)),"")</f>
        <v/>
      </c>
      <c r="E81">
        <f>IFERROR(INDEX(tblCountyCalc[P_ref],MATCH($A81,tblCountyCalc[County],0)),"")</f>
        <v/>
      </c>
      <c r="F81">
        <f>IFERROR(INDEX(tblCountyCalc[P_eff],MATCH($A81,tblCountyCalc[County],0)),"")</f>
        <v/>
      </c>
      <c r="G81">
        <f>IFERROR(INDEX(tblCountyCalc[FTE_on],MATCH($A81,tblCountyCalc[County],0)),"")</f>
        <v/>
      </c>
      <c r="H81">
        <f>IFERROR(INDEX(tblCountyCalc[Utilization],MATCH($A81,tblCountyCalc[County],0)),"")</f>
        <v/>
      </c>
      <c r="I81">
        <f>IFERROR(INDEX(tblCountyCalc[Backlog_Start],MATCH($A81,tblCountyCalc[County],0)),"")</f>
        <v/>
      </c>
      <c r="J81">
        <f>IFERROR(INDEX(tblCountyCalc[Backlog_End],MATCH($A81,tblCountyCalc[County],0)),"")</f>
        <v/>
      </c>
      <c r="K81">
        <f>IFERROR(INDEX(tblCountyCalc[FTE_required],MATCH($A81,tblCountyCalc[County],0)),"")</f>
        <v/>
      </c>
      <c r="L81">
        <f>IFERROR(INDEX(tblCountyCalc[Gap],MATCH($A81,tblCountyCalc[County],0)),"")</f>
        <v/>
      </c>
      <c r="M81">
        <f>IFERROR(INDEX(tblCountyCalc[RAG],MATCH($A81,tblCountyCalc[County],0)),"")</f>
        <v/>
      </c>
    </row>
    <row r="82">
      <c r="A82" t="inlineStr">
        <is>
          <t>Wadena</t>
        </is>
      </c>
      <c r="B82">
        <f>Inputs_State!$B$1</f>
        <v/>
      </c>
      <c r="C82">
        <f>IFERROR(INDEX(tblCountyCalc[AP],MATCH($A82,tblCountyCalc[County],0)),"")</f>
        <v/>
      </c>
      <c r="D82">
        <f>IFERROR(INDEX(tblCountyCalc[CPF],MATCH($A82,tblCountyCalc[County],0)),"")</f>
        <v/>
      </c>
      <c r="E82">
        <f>IFERROR(INDEX(tblCountyCalc[P_ref],MATCH($A82,tblCountyCalc[County],0)),"")</f>
        <v/>
      </c>
      <c r="F82">
        <f>IFERROR(INDEX(tblCountyCalc[P_eff],MATCH($A82,tblCountyCalc[County],0)),"")</f>
        <v/>
      </c>
      <c r="G82">
        <f>IFERROR(INDEX(tblCountyCalc[FTE_on],MATCH($A82,tblCountyCalc[County],0)),"")</f>
        <v/>
      </c>
      <c r="H82">
        <f>IFERROR(INDEX(tblCountyCalc[Utilization],MATCH($A82,tblCountyCalc[County],0)),"")</f>
        <v/>
      </c>
      <c r="I82">
        <f>IFERROR(INDEX(tblCountyCalc[Backlog_Start],MATCH($A82,tblCountyCalc[County],0)),"")</f>
        <v/>
      </c>
      <c r="J82">
        <f>IFERROR(INDEX(tblCountyCalc[Backlog_End],MATCH($A82,tblCountyCalc[County],0)),"")</f>
        <v/>
      </c>
      <c r="K82">
        <f>IFERROR(INDEX(tblCountyCalc[FTE_required],MATCH($A82,tblCountyCalc[County],0)),"")</f>
        <v/>
      </c>
      <c r="L82">
        <f>IFERROR(INDEX(tblCountyCalc[Gap],MATCH($A82,tblCountyCalc[County],0)),"")</f>
        <v/>
      </c>
      <c r="M82">
        <f>IFERROR(INDEX(tblCountyCalc[RAG],MATCH($A82,tblCountyCalc[County],0)),"")</f>
        <v/>
      </c>
    </row>
    <row r="83">
      <c r="A83" t="inlineStr">
        <is>
          <t>Washington</t>
        </is>
      </c>
      <c r="B83">
        <f>Inputs_State!$B$1</f>
        <v/>
      </c>
      <c r="C83">
        <f>IFERROR(INDEX(tblCountyCalc[AP],MATCH($A83,tblCountyCalc[County],0)),"")</f>
        <v/>
      </c>
      <c r="D83">
        <f>IFERROR(INDEX(tblCountyCalc[CPF],MATCH($A83,tblCountyCalc[County],0)),"")</f>
        <v/>
      </c>
      <c r="E83">
        <f>IFERROR(INDEX(tblCountyCalc[P_ref],MATCH($A83,tblCountyCalc[County],0)),"")</f>
        <v/>
      </c>
      <c r="F83">
        <f>IFERROR(INDEX(tblCountyCalc[P_eff],MATCH($A83,tblCountyCalc[County],0)),"")</f>
        <v/>
      </c>
      <c r="G83">
        <f>IFERROR(INDEX(tblCountyCalc[FTE_on],MATCH($A83,tblCountyCalc[County],0)),"")</f>
        <v/>
      </c>
      <c r="H83">
        <f>IFERROR(INDEX(tblCountyCalc[Utilization],MATCH($A83,tblCountyCalc[County],0)),"")</f>
        <v/>
      </c>
      <c r="I83">
        <f>IFERROR(INDEX(tblCountyCalc[Backlog_Start],MATCH($A83,tblCountyCalc[County],0)),"")</f>
        <v/>
      </c>
      <c r="J83">
        <f>IFERROR(INDEX(tblCountyCalc[Backlog_End],MATCH($A83,tblCountyCalc[County],0)),"")</f>
        <v/>
      </c>
      <c r="K83">
        <f>IFERROR(INDEX(tblCountyCalc[FTE_required],MATCH($A83,tblCountyCalc[County],0)),"")</f>
        <v/>
      </c>
      <c r="L83">
        <f>IFERROR(INDEX(tblCountyCalc[Gap],MATCH($A83,tblCountyCalc[County],0)),"")</f>
        <v/>
      </c>
      <c r="M83">
        <f>IFERROR(INDEX(tblCountyCalc[RAG],MATCH($A83,tblCountyCalc[County],0)),"")</f>
        <v/>
      </c>
    </row>
    <row r="84">
      <c r="A84" t="inlineStr">
        <is>
          <t>Watonwan</t>
        </is>
      </c>
      <c r="B84">
        <f>Inputs_State!$B$1</f>
        <v/>
      </c>
      <c r="C84">
        <f>IFERROR(INDEX(tblCountyCalc[AP],MATCH($A84,tblCountyCalc[County],0)),"")</f>
        <v/>
      </c>
      <c r="D84">
        <f>IFERROR(INDEX(tblCountyCalc[CPF],MATCH($A84,tblCountyCalc[County],0)),"")</f>
        <v/>
      </c>
      <c r="E84">
        <f>IFERROR(INDEX(tblCountyCalc[P_ref],MATCH($A84,tblCountyCalc[County],0)),"")</f>
        <v/>
      </c>
      <c r="F84">
        <f>IFERROR(INDEX(tblCountyCalc[P_eff],MATCH($A84,tblCountyCalc[County],0)),"")</f>
        <v/>
      </c>
      <c r="G84">
        <f>IFERROR(INDEX(tblCountyCalc[FTE_on],MATCH($A84,tblCountyCalc[County],0)),"")</f>
        <v/>
      </c>
      <c r="H84">
        <f>IFERROR(INDEX(tblCountyCalc[Utilization],MATCH($A84,tblCountyCalc[County],0)),"")</f>
        <v/>
      </c>
      <c r="I84">
        <f>IFERROR(INDEX(tblCountyCalc[Backlog_Start],MATCH($A84,tblCountyCalc[County],0)),"")</f>
        <v/>
      </c>
      <c r="J84">
        <f>IFERROR(INDEX(tblCountyCalc[Backlog_End],MATCH($A84,tblCountyCalc[County],0)),"")</f>
        <v/>
      </c>
      <c r="K84">
        <f>IFERROR(INDEX(tblCountyCalc[FTE_required],MATCH($A84,tblCountyCalc[County],0)),"")</f>
        <v/>
      </c>
      <c r="L84">
        <f>IFERROR(INDEX(tblCountyCalc[Gap],MATCH($A84,tblCountyCalc[County],0)),"")</f>
        <v/>
      </c>
      <c r="M84">
        <f>IFERROR(INDEX(tblCountyCalc[RAG],MATCH($A84,tblCountyCalc[County],0)),"")</f>
        <v/>
      </c>
    </row>
    <row r="85">
      <c r="A85" t="inlineStr">
        <is>
          <t>Wilkin</t>
        </is>
      </c>
      <c r="B85">
        <f>Inputs_State!$B$1</f>
        <v/>
      </c>
      <c r="C85">
        <f>IFERROR(INDEX(tblCountyCalc[AP],MATCH($A85,tblCountyCalc[County],0)),"")</f>
        <v/>
      </c>
      <c r="D85">
        <f>IFERROR(INDEX(tblCountyCalc[CPF],MATCH($A85,tblCountyCalc[County],0)),"")</f>
        <v/>
      </c>
      <c r="E85">
        <f>IFERROR(INDEX(tblCountyCalc[P_ref],MATCH($A85,tblCountyCalc[County],0)),"")</f>
        <v/>
      </c>
      <c r="F85">
        <f>IFERROR(INDEX(tblCountyCalc[P_eff],MATCH($A85,tblCountyCalc[County],0)),"")</f>
        <v/>
      </c>
      <c r="G85">
        <f>IFERROR(INDEX(tblCountyCalc[FTE_on],MATCH($A85,tblCountyCalc[County],0)),"")</f>
        <v/>
      </c>
      <c r="H85">
        <f>IFERROR(INDEX(tblCountyCalc[Utilization],MATCH($A85,tblCountyCalc[County],0)),"")</f>
        <v/>
      </c>
      <c r="I85">
        <f>IFERROR(INDEX(tblCountyCalc[Backlog_Start],MATCH($A85,tblCountyCalc[County],0)),"")</f>
        <v/>
      </c>
      <c r="J85">
        <f>IFERROR(INDEX(tblCountyCalc[Backlog_End],MATCH($A85,tblCountyCalc[County],0)),"")</f>
        <v/>
      </c>
      <c r="K85">
        <f>IFERROR(INDEX(tblCountyCalc[FTE_required],MATCH($A85,tblCountyCalc[County],0)),"")</f>
        <v/>
      </c>
      <c r="L85">
        <f>IFERROR(INDEX(tblCountyCalc[Gap],MATCH($A85,tblCountyCalc[County],0)),"")</f>
        <v/>
      </c>
      <c r="M85">
        <f>IFERROR(INDEX(tblCountyCalc[RAG],MATCH($A85,tblCountyCalc[County],0)),"")</f>
        <v/>
      </c>
    </row>
    <row r="86">
      <c r="A86" t="inlineStr">
        <is>
          <t>Winona</t>
        </is>
      </c>
      <c r="B86">
        <f>Inputs_State!$B$1</f>
        <v/>
      </c>
      <c r="C86">
        <f>IFERROR(INDEX(tblCountyCalc[AP],MATCH($A86,tblCountyCalc[County],0)),"")</f>
        <v/>
      </c>
      <c r="D86">
        <f>IFERROR(INDEX(tblCountyCalc[CPF],MATCH($A86,tblCountyCalc[County],0)),"")</f>
        <v/>
      </c>
      <c r="E86">
        <f>IFERROR(INDEX(tblCountyCalc[P_ref],MATCH($A86,tblCountyCalc[County],0)),"")</f>
        <v/>
      </c>
      <c r="F86">
        <f>IFERROR(INDEX(tblCountyCalc[P_eff],MATCH($A86,tblCountyCalc[County],0)),"")</f>
        <v/>
      </c>
      <c r="G86">
        <f>IFERROR(INDEX(tblCountyCalc[FTE_on],MATCH($A86,tblCountyCalc[County],0)),"")</f>
        <v/>
      </c>
      <c r="H86">
        <f>IFERROR(INDEX(tblCountyCalc[Utilization],MATCH($A86,tblCountyCalc[County],0)),"")</f>
        <v/>
      </c>
      <c r="I86">
        <f>IFERROR(INDEX(tblCountyCalc[Backlog_Start],MATCH($A86,tblCountyCalc[County],0)),"")</f>
        <v/>
      </c>
      <c r="J86">
        <f>IFERROR(INDEX(tblCountyCalc[Backlog_End],MATCH($A86,tblCountyCalc[County],0)),"")</f>
        <v/>
      </c>
      <c r="K86">
        <f>IFERROR(INDEX(tblCountyCalc[FTE_required],MATCH($A86,tblCountyCalc[County],0)),"")</f>
        <v/>
      </c>
      <c r="L86">
        <f>IFERROR(INDEX(tblCountyCalc[Gap],MATCH($A86,tblCountyCalc[County],0)),"")</f>
        <v/>
      </c>
      <c r="M86">
        <f>IFERROR(INDEX(tblCountyCalc[RAG],MATCH($A86,tblCountyCalc[County],0)),"")</f>
        <v/>
      </c>
    </row>
    <row r="87">
      <c r="A87" t="inlineStr">
        <is>
          <t>Wright</t>
        </is>
      </c>
      <c r="B87">
        <f>Inputs_State!$B$1</f>
        <v/>
      </c>
      <c r="C87">
        <f>IFERROR(INDEX(tblCountyCalc[AP],MATCH($A87,tblCountyCalc[County],0)),"")</f>
        <v/>
      </c>
      <c r="D87">
        <f>IFERROR(INDEX(tblCountyCalc[CPF],MATCH($A87,tblCountyCalc[County],0)),"")</f>
        <v/>
      </c>
      <c r="E87">
        <f>IFERROR(INDEX(tblCountyCalc[P_ref],MATCH($A87,tblCountyCalc[County],0)),"")</f>
        <v/>
      </c>
      <c r="F87">
        <f>IFERROR(INDEX(tblCountyCalc[P_eff],MATCH($A87,tblCountyCalc[County],0)),"")</f>
        <v/>
      </c>
      <c r="G87">
        <f>IFERROR(INDEX(tblCountyCalc[FTE_on],MATCH($A87,tblCountyCalc[County],0)),"")</f>
        <v/>
      </c>
      <c r="H87">
        <f>IFERROR(INDEX(tblCountyCalc[Utilization],MATCH($A87,tblCountyCalc[County],0)),"")</f>
        <v/>
      </c>
      <c r="I87">
        <f>IFERROR(INDEX(tblCountyCalc[Backlog_Start],MATCH($A87,tblCountyCalc[County],0)),"")</f>
        <v/>
      </c>
      <c r="J87">
        <f>IFERROR(INDEX(tblCountyCalc[Backlog_End],MATCH($A87,tblCountyCalc[County],0)),"")</f>
        <v/>
      </c>
      <c r="K87">
        <f>IFERROR(INDEX(tblCountyCalc[FTE_required],MATCH($A87,tblCountyCalc[County],0)),"")</f>
        <v/>
      </c>
      <c r="L87">
        <f>IFERROR(INDEX(tblCountyCalc[Gap],MATCH($A87,tblCountyCalc[County],0)),"")</f>
        <v/>
      </c>
      <c r="M87">
        <f>IFERROR(INDEX(tblCountyCalc[RAG],MATCH($A87,tblCountyCalc[County],0)),"")</f>
        <v/>
      </c>
    </row>
    <row r="88">
      <c r="A88" t="inlineStr">
        <is>
          <t>Yellow Medicine</t>
        </is>
      </c>
      <c r="B88">
        <f>Inputs_State!$B$1</f>
        <v/>
      </c>
      <c r="C88">
        <f>IFERROR(INDEX(tblCountyCalc[AP],MATCH($A88,tblCountyCalc[County],0)),"")</f>
        <v/>
      </c>
      <c r="D88">
        <f>IFERROR(INDEX(tblCountyCalc[CPF],MATCH($A88,tblCountyCalc[County],0)),"")</f>
        <v/>
      </c>
      <c r="E88">
        <f>IFERROR(INDEX(tblCountyCalc[P_ref],MATCH($A88,tblCountyCalc[County],0)),"")</f>
        <v/>
      </c>
      <c r="F88">
        <f>IFERROR(INDEX(tblCountyCalc[P_eff],MATCH($A88,tblCountyCalc[County],0)),"")</f>
        <v/>
      </c>
      <c r="G88">
        <f>IFERROR(INDEX(tblCountyCalc[FTE_on],MATCH($A88,tblCountyCalc[County],0)),"")</f>
        <v/>
      </c>
      <c r="H88">
        <f>IFERROR(INDEX(tblCountyCalc[Utilization],MATCH($A88,tblCountyCalc[County],0)),"")</f>
        <v/>
      </c>
      <c r="I88">
        <f>IFERROR(INDEX(tblCountyCalc[Backlog_Start],MATCH($A88,tblCountyCalc[County],0)),"")</f>
        <v/>
      </c>
      <c r="J88">
        <f>IFERROR(INDEX(tblCountyCalc[Backlog_End],MATCH($A88,tblCountyCalc[County],0)),"")</f>
        <v/>
      </c>
      <c r="K88">
        <f>IFERROR(INDEX(tblCountyCalc[FTE_required],MATCH($A88,tblCountyCalc[County],0)),"")</f>
        <v/>
      </c>
      <c r="L88">
        <f>IFERROR(INDEX(tblCountyCalc[Gap],MATCH($A88,tblCountyCalc[County],0)),"")</f>
        <v/>
      </c>
      <c r="M88">
        <f>IFERROR(INDEX(tblCountyCalc[RAG],MATCH($A88,tblCountyCalc[County],0)),"")</f>
        <v/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8" customWidth="1" min="8" max="8"/>
  </cols>
  <sheetData>
    <row r="1">
      <c r="A1" s="6" t="inlineStr">
        <is>
          <t>History (paste quarterly snapshots here for trends / Tableau)</t>
        </is>
      </c>
    </row>
    <row r="2">
      <c r="A2" s="1" t="inlineStr">
        <is>
          <t>Period</t>
        </is>
      </c>
      <c r="B2" s="1" t="inlineStr">
        <is>
          <t>County</t>
        </is>
      </c>
      <c r="C2" s="1" t="inlineStr">
        <is>
          <t>AP</t>
        </is>
      </c>
      <c r="D2" s="1" t="inlineStr">
        <is>
          <t>Utilization</t>
        </is>
      </c>
      <c r="E2" s="1" t="inlineStr">
        <is>
          <t>Backlog_End</t>
        </is>
      </c>
      <c r="F2" s="1" t="inlineStr">
        <is>
          <t>FTE_required</t>
        </is>
      </c>
      <c r="G2" s="1" t="inlineStr">
        <is>
          <t>Gap</t>
        </is>
      </c>
      <c r="H2" s="1" t="inlineStr">
        <is>
          <t>RAG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2025-12-24T18:19:03Z</dcterms:created>
  <dcterms:modified xmlns:dcterms="http://purl.org/dc/terms/" xmlns:xsi="http://www.w3.org/2001/XMLSchema-instance" xsi:type="dcterms:W3CDTF">2025-12-24T20:33:16Z</dcterms:modified>
</cp:coreProperties>
</file>